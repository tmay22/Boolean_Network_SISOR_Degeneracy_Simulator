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oolean_Network_SISOR_Degeneracy_Simulator\Boolean_Network_SISOR_Degeneracy_Simulator\Cumulative_Outputs\A_Comp\A_Results\"/>
    </mc:Choice>
  </mc:AlternateContent>
  <xr:revisionPtr revIDLastSave="0" documentId="13_ncr:1_{5615B635-E7A7-4D3A-AC54-F8390AFB4DE8}" xr6:coauthVersionLast="47" xr6:coauthVersionMax="47" xr10:uidLastSave="{00000000-0000-0000-0000-000000000000}"/>
  <bookViews>
    <workbookView xWindow="-120" yWindow="-120" windowWidth="26580" windowHeight="15840" activeTab="1" xr2:uid="{8979E4B9-F6D3-4FFF-BFAD-32F04701C466}"/>
  </bookViews>
  <sheets>
    <sheet name="T-All_K1 N7 P30" sheetId="2" r:id="rId1"/>
    <sheet name="R Squared" sheetId="5" r:id="rId2"/>
    <sheet name="Relative Change" sheetId="3" r:id="rId3"/>
  </sheets>
  <definedNames>
    <definedName name="ExternalData_1" localSheetId="0" hidden="1">'T-All_K1 N7 P30'!$A$1:$L$9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C11" i="3"/>
  <c r="D11" i="3"/>
  <c r="F11" i="3"/>
  <c r="B11" i="3"/>
  <c r="M11" i="3"/>
  <c r="N11" i="3"/>
  <c r="N11" i="5"/>
  <c r="G2" i="5"/>
  <c r="G3" i="5"/>
  <c r="G4" i="5"/>
  <c r="G5" i="5"/>
  <c r="G6" i="5"/>
  <c r="G7" i="5"/>
  <c r="G8" i="5"/>
  <c r="F2" i="5"/>
  <c r="F3" i="5"/>
  <c r="F4" i="5"/>
  <c r="F5" i="5"/>
  <c r="F6" i="5"/>
  <c r="F7" i="5"/>
  <c r="F8" i="5"/>
  <c r="E2" i="5"/>
  <c r="E3" i="5"/>
  <c r="E4" i="5"/>
  <c r="E5" i="5"/>
  <c r="E6" i="5"/>
  <c r="E7" i="5"/>
  <c r="E8" i="5"/>
  <c r="D2" i="5"/>
  <c r="D3" i="5"/>
  <c r="D4" i="5"/>
  <c r="D5" i="5"/>
  <c r="N5" i="5" s="1"/>
  <c r="D6" i="5"/>
  <c r="D7" i="5"/>
  <c r="D8" i="5"/>
  <c r="C2" i="5"/>
  <c r="C3" i="5"/>
  <c r="C4" i="5"/>
  <c r="C5" i="5"/>
  <c r="C6" i="5"/>
  <c r="C7" i="5"/>
  <c r="N7" i="5" s="1"/>
  <c r="C8" i="5"/>
  <c r="B2" i="5"/>
  <c r="B3" i="5"/>
  <c r="B4" i="5"/>
  <c r="B5" i="5"/>
  <c r="B6" i="5"/>
  <c r="B7" i="5"/>
  <c r="B8" i="5"/>
  <c r="B9" i="5"/>
  <c r="C9" i="5"/>
  <c r="D9" i="5"/>
  <c r="E9" i="5"/>
  <c r="F9" i="5"/>
  <c r="G9" i="5"/>
  <c r="A3" i="5"/>
  <c r="A4" i="5"/>
  <c r="A5" i="5"/>
  <c r="A6" i="5"/>
  <c r="A7" i="5"/>
  <c r="A8" i="5"/>
  <c r="A9" i="5"/>
  <c r="A2" i="5"/>
  <c r="M3" i="3"/>
  <c r="M4" i="3"/>
  <c r="M5" i="3"/>
  <c r="M6" i="3"/>
  <c r="M7" i="3"/>
  <c r="M8" i="3"/>
  <c r="M9" i="3"/>
  <c r="E2" i="3"/>
  <c r="M2" i="3" s="1"/>
  <c r="N3" i="3"/>
  <c r="N4" i="3"/>
  <c r="N5" i="3"/>
  <c r="N6" i="3"/>
  <c r="N7" i="3"/>
  <c r="N8" i="3"/>
  <c r="N9" i="3"/>
  <c r="N2" i="3"/>
  <c r="B3" i="3"/>
  <c r="C3" i="3"/>
  <c r="D3" i="3"/>
  <c r="E3" i="3"/>
  <c r="F3" i="3"/>
  <c r="B4" i="3"/>
  <c r="C4" i="3"/>
  <c r="D4" i="3"/>
  <c r="E4" i="3"/>
  <c r="F4" i="3"/>
  <c r="B5" i="3"/>
  <c r="C5" i="3"/>
  <c r="D5" i="3"/>
  <c r="E5" i="3"/>
  <c r="F5" i="3"/>
  <c r="B6" i="3"/>
  <c r="C6" i="3"/>
  <c r="D6" i="3"/>
  <c r="E6" i="3"/>
  <c r="F6" i="3"/>
  <c r="B7" i="3"/>
  <c r="C7" i="3"/>
  <c r="D7" i="3"/>
  <c r="E7" i="3"/>
  <c r="F7" i="3"/>
  <c r="B8" i="3"/>
  <c r="C8" i="3"/>
  <c r="D8" i="3"/>
  <c r="E8" i="3"/>
  <c r="F8" i="3"/>
  <c r="B9" i="3"/>
  <c r="C9" i="3"/>
  <c r="D9" i="3"/>
  <c r="E9" i="3"/>
  <c r="F9" i="3"/>
  <c r="C2" i="3"/>
  <c r="D2" i="3"/>
  <c r="F2" i="3"/>
  <c r="B2" i="3"/>
  <c r="A3" i="3"/>
  <c r="A4" i="3"/>
  <c r="A5" i="3"/>
  <c r="A6" i="3"/>
  <c r="A7" i="3"/>
  <c r="A8" i="3"/>
  <c r="A9" i="3"/>
  <c r="A2" i="3"/>
  <c r="N9" i="5"/>
  <c r="N8" i="5" l="1"/>
  <c r="N4" i="5"/>
  <c r="N3" i="5"/>
  <c r="N2" i="5"/>
  <c r="N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CE85EB-F5B5-4A95-A1E1-C0CE7F7BAF3B}" keepAlive="1" name="Query - T-All_K1 N7 P30" description="Connection to the 'T-All_K1 N7 P30' query in the workbook." type="5" refreshedVersion="8" background="1" saveData="1">
    <dbPr connection="Provider=Microsoft.Mashup.OleDb.1;Data Source=$Workbook$;Location=&quot;T-All_K1 N7 P30&quot;;Extended Properties=&quot;&quot;" command="SELECT * FROM [T-All_K1 N7 P30]"/>
  </connection>
</connections>
</file>

<file path=xl/sharedStrings.xml><?xml version="1.0" encoding="utf-8"?>
<sst xmlns="http://schemas.openxmlformats.org/spreadsheetml/2006/main" count="43" uniqueCount="35">
  <si>
    <t>Identifier</t>
  </si>
  <si>
    <t>e7c76d028fc4b4d9078b42e1a0f9e114ff8e871272b553b114f314adc891b1f9</t>
  </si>
  <si>
    <t>cc7bd0be2e6563766779cb3aa9c7eba3bfb3c421641af52fb184ef67d57c0b69</t>
  </si>
  <si>
    <t>e91e0b2ac71f06c8fdffd5a5059d764a130982c29790a707bea8993f4e58016d</t>
  </si>
  <si>
    <t>c2877013993d71f44d359df6d80f01fdb19c4e13eba0bdbe3a124dd0ee2f50b7</t>
  </si>
  <si>
    <t>2b2d1afc537e9006bd194fda987c93bfe3da68d700c2c99b8fbda92739690e1f</t>
  </si>
  <si>
    <t>883602025b8704dafc2f802334a37bc794e8e965cd7a33ab22870122cb49793f</t>
  </si>
  <si>
    <t>e1e600b4c1b60a279475d838436f5c7fe98b6803d12e009a296bb17b6c8979c5</t>
  </si>
  <si>
    <t>3faa1d7298091e258303dbcfb2e23e1fdbe050d86f4d6b1789a1c5d5fdf8f5f9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</si>
  <si>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</si>
  <si>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</si>
  <si>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</si>
  <si>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</si>
  <si>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</si>
  <si>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</si>
  <si>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</si>
  <si>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</si>
  <si>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</si>
  <si>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</si>
  <si>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</si>
  <si>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R Squared</t>
  </si>
  <si>
    <t>ID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</si>
  <si>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</si>
  <si>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</si>
  <si>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</si>
  <si>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</si>
  <si>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</si>
  <si>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</si>
  <si>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</si>
  <si>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</si>
  <si>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</si>
  <si>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</si>
  <si>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Average</t>
  </si>
  <si>
    <t>Max-Min</t>
  </si>
  <si>
    <t>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</si>
</sst>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2" fontId="0" fillId="0" borderId="0" xfId="0" applyNumberFormat="1"/>
    <xf numFmtId="171" fontId="0" fillId="0" borderId="0" xfId="0" applyNumberFormat="1"/>
    <xf numFmtId="1" fontId="0" fillId="0" borderId="0" xfId="0" applyNumberFormat="1"/>
    <xf numFmtId="0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16AAC8-003C-49C0-8871-CF02DBBA7816}" autoFormatId="16" applyNumberFormats="0" applyBorderFormats="0" applyFontFormats="0" applyPatternFormats="0" applyAlignmentFormats="0" applyWidthHeightFormats="0">
  <queryTableRefresh nextId="25">
    <queryTableFields count="12">
      <queryTableField id="13" name="Identifier" tableColumnId="13"/>
      <queryTableField id="14" name="0" tableColumnId="14"/>
      <queryTableField id="15" name="1" tableColumnId="15"/>
      <queryTableField id="16" name="2" tableColumnId="16"/>
      <queryTableField id="17" name="3" tableColumnId="17"/>
      <queryTableField id="18" name="4" tableColumnId="18"/>
      <queryTableField id="19" name="5" tableColumnId="19"/>
      <queryTableField id="20" name="6" tableColumnId="20"/>
      <queryTableField id="21" name="7" tableColumnId="21"/>
      <queryTableField id="22" name="8" tableColumnId="22"/>
      <queryTableField id="23" name="9" tableColumnId="23"/>
      <queryTableField id="24" name="1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A87CCA-1117-4695-BB8E-AD00E52A0BA2}" name="T_All_K1_N7_P30" displayName="T_All_K1_N7_P30" ref="A1:L9" tableType="queryTable" totalsRowShown="0">
  <autoFilter ref="A1:L9" xr:uid="{73A87CCA-1117-4695-BB8E-AD00E52A0BA2}"/>
  <tableColumns count="12">
    <tableColumn id="13" xr3:uid="{378EFF30-9263-49A7-BBAB-87C00CEEB09C}" uniqueName="13" name="Identifier" queryTableFieldId="13" dataDxfId="0"/>
    <tableColumn id="14" xr3:uid="{E9D2629D-871C-4826-B84D-97A450FB0884}" uniqueName="14" name="0" queryTableFieldId="14"/>
    <tableColumn id="15" xr3:uid="{8D34F897-C50C-4B11-AB07-EEC0781DB26F}" uniqueName="15" name="1" queryTableFieldId="15"/>
    <tableColumn id="16" xr3:uid="{DEA3D7FF-8176-4B49-9D5B-14E29F513B13}" uniqueName="16" name="2" queryTableFieldId="16"/>
    <tableColumn id="17" xr3:uid="{E25DD0B7-5ABC-4404-B191-8AAEAD343659}" uniqueName="17" name="3" queryTableFieldId="17"/>
    <tableColumn id="18" xr3:uid="{410342D7-240E-4573-BE83-2EAC2BCF62C0}" uniqueName="18" name="4" queryTableFieldId="18"/>
    <tableColumn id="19" xr3:uid="{8F753C53-04B2-4F40-847C-DFD38285094A}" uniqueName="19" name="5" queryTableFieldId="19"/>
    <tableColumn id="20" xr3:uid="{204D20CA-A29C-4474-BDB4-BF7891023E46}" uniqueName="20" name="6" queryTableFieldId="20"/>
    <tableColumn id="21" xr3:uid="{80317071-6F40-4C71-AE01-A6263DB934A8}" uniqueName="21" name="7" queryTableFieldId="21"/>
    <tableColumn id="22" xr3:uid="{2CB24B92-B522-4D07-A0C8-571327DF0F68}" uniqueName="22" name="8" queryTableFieldId="22"/>
    <tableColumn id="23" xr3:uid="{924188E2-F1F5-4FC0-B299-5F8A2616923A}" uniqueName="23" name="9" queryTableFieldId="23"/>
    <tableColumn id="24" xr3:uid="{6363D32F-16CD-4972-9ACD-054FBDD2BEA3}" uniqueName="24" name="10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0192-AD1E-43F1-8FA3-98F39961C6E6}">
  <dimension ref="A1:L9"/>
  <sheetViews>
    <sheetView workbookViewId="0">
      <selection sqref="A1:L9"/>
    </sheetView>
  </sheetViews>
  <sheetFormatPr defaultRowHeight="15" x14ac:dyDescent="0.25"/>
  <cols>
    <col min="1" max="1" width="67.5703125" bestFit="1" customWidth="1"/>
    <col min="2" max="4" width="12" bestFit="1" customWidth="1"/>
    <col min="5" max="5" width="12.7109375" bestFit="1" customWidth="1"/>
    <col min="6" max="7" width="12" bestFit="1" customWidth="1"/>
    <col min="8" max="11" width="4.28515625" bestFit="1" customWidth="1"/>
    <col min="12" max="12" width="5.28515625" bestFit="1" customWidth="1"/>
    <col min="13" max="13" width="48" bestFit="1" customWidth="1"/>
    <col min="14" max="16" width="12" bestFit="1" customWidth="1"/>
    <col min="17" max="17" width="12.7109375" bestFit="1" customWidth="1"/>
    <col min="18" max="19" width="12" bestFit="1" customWidth="1"/>
    <col min="20" max="21" width="11.42578125" bestFit="1" customWidth="1"/>
    <col min="22" max="24" width="12.42578125" bestFit="1" customWidth="1"/>
  </cols>
  <sheetData>
    <row r="1" spans="1:12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2" x14ac:dyDescent="0.25">
      <c r="A2" s="1" t="s">
        <v>1</v>
      </c>
      <c r="B2">
        <v>1.4050056171129617</v>
      </c>
      <c r="C2">
        <v>0.93101310295156336</v>
      </c>
      <c r="D2">
        <v>0.55423190322259319</v>
      </c>
      <c r="E2">
        <v>-3.4528234999999997E-2</v>
      </c>
      <c r="F2">
        <v>4.2476800958244025</v>
      </c>
      <c r="G2">
        <v>1.1642723401358317</v>
      </c>
    </row>
    <row r="3" spans="1:12" x14ac:dyDescent="0.25">
      <c r="A3" s="1" t="s">
        <v>2</v>
      </c>
      <c r="B3">
        <v>0.88092543555480785</v>
      </c>
      <c r="C3">
        <v>1.0121357336672039</v>
      </c>
      <c r="D3">
        <v>3.043066175123911</v>
      </c>
      <c r="E3">
        <v>3.141445836417053</v>
      </c>
      <c r="F3">
        <v>2.4131720228319709</v>
      </c>
      <c r="G3">
        <v>1.229744930940214</v>
      </c>
    </row>
    <row r="4" spans="1:12" x14ac:dyDescent="0.25">
      <c r="A4" s="1" t="s">
        <v>3</v>
      </c>
      <c r="B4">
        <v>2.5196020807291326</v>
      </c>
      <c r="C4">
        <v>2.2338979673286135</v>
      </c>
      <c r="D4">
        <v>2.6853430608193545</v>
      </c>
      <c r="E4">
        <v>3.1858480452244287</v>
      </c>
      <c r="F4">
        <v>1.6703409161504195</v>
      </c>
      <c r="G4">
        <v>3.4403213773296528</v>
      </c>
    </row>
    <row r="5" spans="1:12" x14ac:dyDescent="0.25">
      <c r="A5" s="1" t="s">
        <v>4</v>
      </c>
      <c r="B5">
        <v>2.9688365747723844</v>
      </c>
      <c r="C5">
        <v>2.9213901408723721</v>
      </c>
      <c r="D5">
        <v>4.4556295918725626</v>
      </c>
      <c r="E5">
        <v>4.5863028180430714</v>
      </c>
      <c r="F5">
        <v>3.5109200608235493</v>
      </c>
      <c r="G5">
        <v>3.6118128643217808</v>
      </c>
    </row>
    <row r="6" spans="1:12" x14ac:dyDescent="0.25">
      <c r="A6" s="1" t="s">
        <v>5</v>
      </c>
      <c r="B6">
        <v>1.7501513761731684</v>
      </c>
      <c r="C6">
        <v>2.8831260999925816</v>
      </c>
      <c r="D6">
        <v>3.9661501867091498</v>
      </c>
      <c r="E6">
        <v>3.1608643917304473</v>
      </c>
      <c r="F6">
        <v>3.6244517492477843</v>
      </c>
      <c r="G6">
        <v>4.1159825510080648</v>
      </c>
    </row>
    <row r="7" spans="1:12" x14ac:dyDescent="0.25">
      <c r="A7" s="1" t="s">
        <v>6</v>
      </c>
      <c r="B7">
        <v>1.8799204486342433</v>
      </c>
      <c r="C7">
        <v>2.0146989665347563</v>
      </c>
      <c r="D7">
        <v>0.97935468277532134</v>
      </c>
      <c r="E7">
        <v>2.7073831326738418</v>
      </c>
      <c r="F7">
        <v>1.5375282137485859</v>
      </c>
      <c r="G7">
        <v>0.95174040579674624</v>
      </c>
    </row>
    <row r="8" spans="1:12" x14ac:dyDescent="0.25">
      <c r="A8" s="1" t="s">
        <v>7</v>
      </c>
      <c r="B8">
        <v>1.4081166455109377</v>
      </c>
      <c r="C8">
        <v>1.330478913106983</v>
      </c>
      <c r="D8">
        <v>1.366584247</v>
      </c>
      <c r="E8">
        <v>1.0196370211310044</v>
      </c>
      <c r="F8">
        <v>5.8995841E-2</v>
      </c>
      <c r="G8">
        <v>0.62303684718143648</v>
      </c>
    </row>
    <row r="9" spans="1:12" x14ac:dyDescent="0.25">
      <c r="A9" s="1" t="s">
        <v>8</v>
      </c>
      <c r="B9">
        <v>1.0239831771206793</v>
      </c>
      <c r="C9">
        <v>3.2779891932000402</v>
      </c>
      <c r="D9">
        <v>1.6317279943380136</v>
      </c>
      <c r="E9">
        <v>3.0821189004160625</v>
      </c>
      <c r="F9">
        <v>2.4085681596152835</v>
      </c>
      <c r="G9">
        <v>2.3087398740798042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ADCC-00BB-4058-A1B8-16AB3F675525}">
  <dimension ref="A1:N11"/>
  <sheetViews>
    <sheetView tabSelected="1" workbookViewId="0">
      <selection activeCell="M12" sqref="M12"/>
    </sheetView>
  </sheetViews>
  <sheetFormatPr defaultRowHeight="15" x14ac:dyDescent="0.25"/>
  <cols>
    <col min="12" max="12" width="9.5703125" bestFit="1" customWidth="1"/>
  </cols>
  <sheetData>
    <row r="1" spans="1:14" x14ac:dyDescent="0.25">
      <c r="A1" t="s">
        <v>0</v>
      </c>
      <c r="B1" s="4">
        <v>0</v>
      </c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N1" t="s">
        <v>20</v>
      </c>
    </row>
    <row r="2" spans="1:14" x14ac:dyDescent="0.25">
      <c r="A2" t="str">
        <f>T_All_K1_N7_P30[[#This Row],[Identifier]]</f>
        <v>e7c76d028fc4b4d9078b42e1a0f9e114ff8e871272b553b114f314adc891b1f9</v>
      </c>
      <c r="B2">
        <f>T_All_K1_N7_P30[[#This Row],[0]]</f>
        <v>1.4050056171129617</v>
      </c>
      <c r="C2">
        <f>T_All_K1_N7_P30[[#This Row],[1]]</f>
        <v>0.93101310295156336</v>
      </c>
      <c r="D2">
        <f>T_All_K1_N7_P30[[#This Row],[2]]</f>
        <v>0.55423190322259319</v>
      </c>
      <c r="E2">
        <f>T_All_K1_N7_P30[[#This Row],[3]]</f>
        <v>-3.4528234999999997E-2</v>
      </c>
      <c r="F2">
        <f>T_All_K1_N7_P30[[#This Row],[4]]</f>
        <v>4.2476800958244025</v>
      </c>
      <c r="G2">
        <f>T_All_K1_N7_P30[[#This Row],[5]]</f>
        <v>1.1642723401358317</v>
      </c>
      <c r="H2" s="3"/>
      <c r="I2" s="3"/>
      <c r="J2" s="3"/>
      <c r="K2" s="3"/>
      <c r="L2" s="3"/>
      <c r="N2" s="2">
        <f>RSQ(B2:G2,$B$1:$G$1)</f>
        <v>8.5221778147195115E-2</v>
      </c>
    </row>
    <row r="3" spans="1:14" x14ac:dyDescent="0.25">
      <c r="A3" t="str">
        <f>T_All_K1_N7_P30[[#This Row],[Identifier]]</f>
        <v>cc7bd0be2e6563766779cb3aa9c7eba3bfb3c421641af52fb184ef67d57c0b69</v>
      </c>
      <c r="B3">
        <f>T_All_K1_N7_P30[[#This Row],[0]]</f>
        <v>0.88092543555480785</v>
      </c>
      <c r="C3">
        <f>T_All_K1_N7_P30[[#This Row],[1]]</f>
        <v>1.0121357336672039</v>
      </c>
      <c r="D3">
        <f>T_All_K1_N7_P30[[#This Row],[2]]</f>
        <v>3.043066175123911</v>
      </c>
      <c r="E3">
        <f>T_All_K1_N7_P30[[#This Row],[3]]</f>
        <v>3.141445836417053</v>
      </c>
      <c r="F3">
        <f>T_All_K1_N7_P30[[#This Row],[4]]</f>
        <v>2.4131720228319709</v>
      </c>
      <c r="G3">
        <f>T_All_K1_N7_P30[[#This Row],[5]]</f>
        <v>1.229744930940214</v>
      </c>
      <c r="H3" s="3"/>
      <c r="I3" s="3"/>
      <c r="J3" s="3"/>
      <c r="K3" s="3"/>
      <c r="L3" s="3"/>
      <c r="N3" s="2">
        <f t="shared" ref="N3:N9" si="0">RSQ(B3:G3,$B$1:$G$1)</f>
        <v>9.7229629262636161E-2</v>
      </c>
    </row>
    <row r="4" spans="1:14" x14ac:dyDescent="0.25">
      <c r="A4" t="str">
        <f>T_All_K1_N7_P30[[#This Row],[Identifier]]</f>
        <v>e91e0b2ac71f06c8fdffd5a5059d764a130982c29790a707bea8993f4e58016d</v>
      </c>
      <c r="B4">
        <f>T_All_K1_N7_P30[[#This Row],[0]]</f>
        <v>2.5196020807291326</v>
      </c>
      <c r="C4">
        <f>T_All_K1_N7_P30[[#This Row],[1]]</f>
        <v>2.2338979673286135</v>
      </c>
      <c r="D4">
        <f>T_All_K1_N7_P30[[#This Row],[2]]</f>
        <v>2.6853430608193545</v>
      </c>
      <c r="E4">
        <f>T_All_K1_N7_P30[[#This Row],[3]]</f>
        <v>3.1858480452244287</v>
      </c>
      <c r="F4">
        <f>T_All_K1_N7_P30[[#This Row],[4]]</f>
        <v>1.6703409161504195</v>
      </c>
      <c r="G4">
        <f>T_All_K1_N7_P30[[#This Row],[5]]</f>
        <v>3.4403213773296528</v>
      </c>
      <c r="H4" s="3"/>
      <c r="I4" s="3"/>
      <c r="J4" s="3"/>
      <c r="K4" s="3"/>
      <c r="L4" s="3"/>
      <c r="N4" s="2">
        <f t="shared" si="0"/>
        <v>8.0865846179930187E-2</v>
      </c>
    </row>
    <row r="5" spans="1:14" x14ac:dyDescent="0.25">
      <c r="A5" t="str">
        <f>T_All_K1_N7_P30[[#This Row],[Identifier]]</f>
        <v>c2877013993d71f44d359df6d80f01fdb19c4e13eba0bdbe3a124dd0ee2f50b7</v>
      </c>
      <c r="B5">
        <f>T_All_K1_N7_P30[[#This Row],[0]]</f>
        <v>2.9688365747723844</v>
      </c>
      <c r="C5">
        <f>T_All_K1_N7_P30[[#This Row],[1]]</f>
        <v>2.9213901408723721</v>
      </c>
      <c r="D5">
        <f>T_All_K1_N7_P30[[#This Row],[2]]</f>
        <v>4.4556295918725626</v>
      </c>
      <c r="E5">
        <f>T_All_K1_N7_P30[[#This Row],[3]]</f>
        <v>4.5863028180430714</v>
      </c>
      <c r="F5">
        <f>T_All_K1_N7_P30[[#This Row],[4]]</f>
        <v>3.5109200608235493</v>
      </c>
      <c r="G5">
        <f>T_All_K1_N7_P30[[#This Row],[5]]</f>
        <v>3.6118128643217808</v>
      </c>
      <c r="H5" s="3"/>
      <c r="I5" s="3"/>
      <c r="J5" s="3"/>
      <c r="K5" s="3"/>
      <c r="L5" s="3"/>
      <c r="N5" s="2">
        <f t="shared" si="0"/>
        <v>0.14725352686203408</v>
      </c>
    </row>
    <row r="6" spans="1:14" x14ac:dyDescent="0.25">
      <c r="A6" t="str">
        <f>T_All_K1_N7_P30[[#This Row],[Identifier]]</f>
        <v>2b2d1afc537e9006bd194fda987c93bfe3da68d700c2c99b8fbda92739690e1f</v>
      </c>
      <c r="B6">
        <f>T_All_K1_N7_P30[[#This Row],[0]]</f>
        <v>1.7501513761731684</v>
      </c>
      <c r="C6">
        <f>T_All_K1_N7_P30[[#This Row],[1]]</f>
        <v>2.8831260999925816</v>
      </c>
      <c r="D6">
        <f>T_All_K1_N7_P30[[#This Row],[2]]</f>
        <v>3.9661501867091498</v>
      </c>
      <c r="E6">
        <f>T_All_K1_N7_P30[[#This Row],[3]]</f>
        <v>3.1608643917304473</v>
      </c>
      <c r="F6">
        <f>T_All_K1_N7_P30[[#This Row],[4]]</f>
        <v>3.6244517492477843</v>
      </c>
      <c r="G6">
        <f>T_All_K1_N7_P30[[#This Row],[5]]</f>
        <v>4.1159825510080648</v>
      </c>
      <c r="H6" s="3"/>
      <c r="I6" s="3"/>
      <c r="J6" s="3"/>
      <c r="K6" s="3"/>
      <c r="L6" s="3"/>
      <c r="N6" s="2">
        <f t="shared" si="0"/>
        <v>0.66064709274155564</v>
      </c>
    </row>
    <row r="7" spans="1:14" x14ac:dyDescent="0.25">
      <c r="A7" t="str">
        <f>T_All_K1_N7_P30[[#This Row],[Identifier]]</f>
        <v>883602025b8704dafc2f802334a37bc794e8e965cd7a33ab22870122cb49793f</v>
      </c>
      <c r="B7">
        <f>T_All_K1_N7_P30[[#This Row],[0]]</f>
        <v>1.8799204486342433</v>
      </c>
      <c r="C7">
        <f>T_All_K1_N7_P30[[#This Row],[1]]</f>
        <v>2.0146989665347563</v>
      </c>
      <c r="D7">
        <f>T_All_K1_N7_P30[[#This Row],[2]]</f>
        <v>0.97935468277532134</v>
      </c>
      <c r="E7">
        <f>T_All_K1_N7_P30[[#This Row],[3]]</f>
        <v>2.7073831326738418</v>
      </c>
      <c r="F7">
        <f>T_All_K1_N7_P30[[#This Row],[4]]</f>
        <v>1.5375282137485859</v>
      </c>
      <c r="G7">
        <f>T_All_K1_N7_P30[[#This Row],[5]]</f>
        <v>0.95174040579674624</v>
      </c>
      <c r="H7" s="3"/>
      <c r="I7" s="3"/>
      <c r="J7" s="3"/>
      <c r="K7" s="3"/>
      <c r="L7" s="3"/>
      <c r="N7" s="2">
        <f t="shared" si="0"/>
        <v>0.11988307802533385</v>
      </c>
    </row>
    <row r="8" spans="1:14" x14ac:dyDescent="0.25">
      <c r="A8" t="str">
        <f>T_All_K1_N7_P30[[#This Row],[Identifier]]</f>
        <v>e1e600b4c1b60a279475d838436f5c7fe98b6803d12e009a296bb17b6c8979c5</v>
      </c>
      <c r="B8">
        <f>T_All_K1_N7_P30[[#This Row],[0]]</f>
        <v>1.4081166455109377</v>
      </c>
      <c r="C8">
        <f>T_All_K1_N7_P30[[#This Row],[1]]</f>
        <v>1.330478913106983</v>
      </c>
      <c r="D8">
        <f>T_All_K1_N7_P30[[#This Row],[2]]</f>
        <v>1.366584247</v>
      </c>
      <c r="E8">
        <f>T_All_K1_N7_P30[[#This Row],[3]]</f>
        <v>1.0196370211310044</v>
      </c>
      <c r="F8">
        <f>T_All_K1_N7_P30[[#This Row],[4]]</f>
        <v>5.8995841E-2</v>
      </c>
      <c r="G8">
        <f>T_All_K1_N7_P30[[#This Row],[5]]</f>
        <v>0.62303684718143648</v>
      </c>
      <c r="H8" s="3"/>
      <c r="I8" s="3"/>
      <c r="J8" s="3"/>
      <c r="K8" s="3"/>
      <c r="L8" s="3"/>
      <c r="N8" s="2">
        <f t="shared" si="0"/>
        <v>0.65243451892615711</v>
      </c>
    </row>
    <row r="9" spans="1:14" x14ac:dyDescent="0.25">
      <c r="A9" t="str">
        <f>T_All_K1_N7_P30[[#This Row],[Identifier]]</f>
        <v>3faa1d7298091e258303dbcfb2e23e1fdbe050d86f4d6b1789a1c5d5fdf8f5f9</v>
      </c>
      <c r="B9">
        <f>T_All_K1_N7_P30[[#This Row],[0]]</f>
        <v>1.0239831771206793</v>
      </c>
      <c r="C9">
        <f>T_All_K1_N7_P30[[#This Row],[1]]</f>
        <v>3.2779891932000402</v>
      </c>
      <c r="D9">
        <f>T_All_K1_N7_P30[[#This Row],[2]]</f>
        <v>1.6317279943380136</v>
      </c>
      <c r="E9">
        <f>T_All_K1_N7_P30[[#This Row],[3]]</f>
        <v>3.0821189004160625</v>
      </c>
      <c r="F9">
        <f>T_All_K1_N7_P30[[#This Row],[4]]</f>
        <v>2.4085681596152835</v>
      </c>
      <c r="G9">
        <f>T_All_K1_N7_P30[[#This Row],[5]]</f>
        <v>2.3087398740798042</v>
      </c>
      <c r="H9" s="3"/>
      <c r="I9" s="3"/>
      <c r="J9" s="3"/>
      <c r="K9" s="3"/>
      <c r="L9" s="3"/>
      <c r="N9" s="2">
        <f t="shared" si="0"/>
        <v>0.10840989515359495</v>
      </c>
    </row>
    <row r="11" spans="1:14" x14ac:dyDescent="0.25">
      <c r="M11" t="s">
        <v>34</v>
      </c>
      <c r="N11" s="2">
        <f>AVERAGE(N2:N9)</f>
        <v>0.24399317066230466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8F9B-68B4-4F1B-88F2-928C43112455}">
  <dimension ref="A1:N11"/>
  <sheetViews>
    <sheetView workbookViewId="0">
      <selection activeCell="J24" sqref="J24"/>
    </sheetView>
  </sheetViews>
  <sheetFormatPr defaultRowHeight="15" x14ac:dyDescent="0.25"/>
  <cols>
    <col min="1" max="1" width="67.5703125" bestFit="1" customWidth="1"/>
  </cols>
  <sheetData>
    <row r="1" spans="1:14" x14ac:dyDescent="0.25">
      <c r="A1" t="s">
        <v>21</v>
      </c>
      <c r="B1" t="s">
        <v>22</v>
      </c>
      <c r="C1" s="5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M1" t="s">
        <v>32</v>
      </c>
      <c r="N1" t="s">
        <v>33</v>
      </c>
    </row>
    <row r="2" spans="1:14" x14ac:dyDescent="0.25">
      <c r="A2" t="str">
        <f>T_All_K1_N7_P30[[#This Row],[Identifier]]</f>
        <v>e7c76d028fc4b4d9078b42e1a0f9e114ff8e871272b553b114f314adc891b1f9</v>
      </c>
      <c r="B2">
        <f>(T_All_K1_N7_P30[[#This Row],[1]]-T_All_K1_N7_P30[[#This Row],[0]])/ABS(T_All_K1_N7_P30[[#This Row],[0]])</f>
        <v>-0.33735987129743239</v>
      </c>
      <c r="C2">
        <f>(T_All_K1_N7_P30[[#This Row],[2]]-T_All_K1_N7_P30[[#This Row],[1]])/ABS(T_All_K1_N7_P30[[#This Row],[1]])</f>
        <v>-0.40470021155929153</v>
      </c>
      <c r="D2">
        <f>(T_All_K1_N7_P30[[#This Row],[3]]-T_All_K1_N7_P30[[#This Row],[2]])/ABS(T_All_K1_N7_P30[[#This Row],[2]])</f>
        <v>-1.0622992555990278</v>
      </c>
      <c r="E2">
        <f>(T_All_K1_N7_P30[[#This Row],[4]]-T_All_K1_N7_P30[[#This Row],[3]])/ABS(T_All_K1_N7_P30[[#This Row],[3]])</f>
        <v>124.02048152256849</v>
      </c>
      <c r="F2">
        <f>(T_All_K1_N7_P30[[#This Row],[5]]-T_All_K1_N7_P30[[#This Row],[4]])/ABS(T_All_K1_N7_P30[[#This Row],[4]])</f>
        <v>-0.72590394900963784</v>
      </c>
      <c r="M2">
        <f>AVERAGE(B2:F2)</f>
        <v>24.29804364702062</v>
      </c>
      <c r="N2">
        <f>(T_All_K1_N7_P30[[#This Row],[5]]-T_All_K1_N7_P30[[#This Row],[0]])/ABS(T_All_K1_N7_P30[[#This Row],[0]])</f>
        <v>-0.17133972565305064</v>
      </c>
    </row>
    <row r="3" spans="1:14" x14ac:dyDescent="0.25">
      <c r="A3" t="str">
        <f>T_All_K1_N7_P30[[#This Row],[Identifier]]</f>
        <v>cc7bd0be2e6563766779cb3aa9c7eba3bfb3c421641af52fb184ef67d57c0b69</v>
      </c>
      <c r="B3">
        <f>(T_All_K1_N7_P30[[#This Row],[1]]-T_All_K1_N7_P30[[#This Row],[0]])/ABS(T_All_K1_N7_P30[[#This Row],[0]])</f>
        <v>0.14894597523995848</v>
      </c>
      <c r="C3">
        <f>(T_All_K1_N7_P30[[#This Row],[2]]-T_All_K1_N7_P30[[#This Row],[1]])/ABS(T_All_K1_N7_P30[[#This Row],[1]])</f>
        <v>2.0065791315342385</v>
      </c>
      <c r="D3">
        <f>(T_All_K1_N7_P30[[#This Row],[3]]-T_All_K1_N7_P30[[#This Row],[2]])/ABS(T_All_K1_N7_P30[[#This Row],[2]])</f>
        <v>3.2329123203880407E-2</v>
      </c>
      <c r="E3">
        <f>(T_All_K1_N7_P30[[#This Row],[4]]-T_All_K1_N7_P30[[#This Row],[3]])/ABS(T_All_K1_N7_P30[[#This Row],[3]])</f>
        <v>-0.23182758879449855</v>
      </c>
      <c r="F3">
        <f>(T_All_K1_N7_P30[[#This Row],[5]]-T_All_K1_N7_P30[[#This Row],[4]])/ABS(T_All_K1_N7_P30[[#This Row],[4]])</f>
        <v>-0.49040312115957219</v>
      </c>
      <c r="M3">
        <f t="shared" ref="M3:M9" si="0">AVERAGE(B3:F3)</f>
        <v>0.29312470400480128</v>
      </c>
      <c r="N3">
        <f>(T_All_K1_N7_P30[[#This Row],[5]]-T_All_K1_N7_P30[[#This Row],[0]])/ABS(T_All_K1_N7_P30[[#This Row],[0]])</f>
        <v>0.39596937641574537</v>
      </c>
    </row>
    <row r="4" spans="1:14" x14ac:dyDescent="0.25">
      <c r="A4" t="str">
        <f>T_All_K1_N7_P30[[#This Row],[Identifier]]</f>
        <v>e91e0b2ac71f06c8fdffd5a5059d764a130982c29790a707bea8993f4e58016d</v>
      </c>
      <c r="B4">
        <f>(T_All_K1_N7_P30[[#This Row],[1]]-T_All_K1_N7_P30[[#This Row],[0]])/ABS(T_All_K1_N7_P30[[#This Row],[0]])</f>
        <v>-0.11339255336614143</v>
      </c>
      <c r="C4">
        <f>(T_All_K1_N7_P30[[#This Row],[2]]-T_All_K1_N7_P30[[#This Row],[1]])/ABS(T_All_K1_N7_P30[[#This Row],[1]])</f>
        <v>0.20208850184442287</v>
      </c>
      <c r="D4">
        <f>(T_All_K1_N7_P30[[#This Row],[3]]-T_All_K1_N7_P30[[#This Row],[2]])/ABS(T_All_K1_N7_P30[[#This Row],[2]])</f>
        <v>0.18638400125023863</v>
      </c>
      <c r="E4">
        <f>(T_All_K1_N7_P30[[#This Row],[4]]-T_All_K1_N7_P30[[#This Row],[3]])/ABS(T_All_K1_N7_P30[[#This Row],[3]])</f>
        <v>-0.47569975327158093</v>
      </c>
      <c r="F4">
        <f>(T_All_K1_N7_P30[[#This Row],[5]]-T_All_K1_N7_P30[[#This Row],[4]])/ABS(T_All_K1_N7_P30[[#This Row],[4]])</f>
        <v>1.0596522207325496</v>
      </c>
      <c r="M4">
        <f t="shared" si="0"/>
        <v>0.17180648343789776</v>
      </c>
      <c r="N4">
        <f>(T_All_K1_N7_P30[[#This Row],[5]]-T_All_K1_N7_P30[[#This Row],[0]])/ABS(T_All_K1_N7_P30[[#This Row],[0]])</f>
        <v>0.36542250208575744</v>
      </c>
    </row>
    <row r="5" spans="1:14" x14ac:dyDescent="0.25">
      <c r="A5" t="str">
        <f>T_All_K1_N7_P30[[#This Row],[Identifier]]</f>
        <v>c2877013993d71f44d359df6d80f01fdb19c4e13eba0bdbe3a124dd0ee2f50b7</v>
      </c>
      <c r="B5">
        <f>(T_All_K1_N7_P30[[#This Row],[1]]-T_All_K1_N7_P30[[#This Row],[0]])/ABS(T_All_K1_N7_P30[[#This Row],[0]])</f>
        <v>-1.5981490629422699E-2</v>
      </c>
      <c r="C5">
        <f>(T_All_K1_N7_P30[[#This Row],[2]]-T_All_K1_N7_P30[[#This Row],[1]])/ABS(T_All_K1_N7_P30[[#This Row],[1]])</f>
        <v>0.52517444675911817</v>
      </c>
      <c r="D5">
        <f>(T_All_K1_N7_P30[[#This Row],[3]]-T_All_K1_N7_P30[[#This Row],[2]])/ABS(T_All_K1_N7_P30[[#This Row],[2]])</f>
        <v>2.9327668172611922E-2</v>
      </c>
      <c r="E5">
        <f>(T_All_K1_N7_P30[[#This Row],[4]]-T_All_K1_N7_P30[[#This Row],[3]])/ABS(T_All_K1_N7_P30[[#This Row],[3]])</f>
        <v>-0.23447705044438755</v>
      </c>
      <c r="F5">
        <f>(T_All_K1_N7_P30[[#This Row],[5]]-T_All_K1_N7_P30[[#This Row],[4]])/ABS(T_All_K1_N7_P30[[#This Row],[4]])</f>
        <v>2.8736855795732721E-2</v>
      </c>
      <c r="M5">
        <f t="shared" si="0"/>
        <v>6.6556085930730507E-2</v>
      </c>
      <c r="N5">
        <f>(T_All_K1_N7_P30[[#This Row],[5]]-T_All_K1_N7_P30[[#This Row],[0]])/ABS(T_All_K1_N7_P30[[#This Row],[0]])</f>
        <v>0.21657517123477649</v>
      </c>
    </row>
    <row r="6" spans="1:14" x14ac:dyDescent="0.25">
      <c r="A6" t="str">
        <f>T_All_K1_N7_P30[[#This Row],[Identifier]]</f>
        <v>2b2d1afc537e9006bd194fda987c93bfe3da68d700c2c99b8fbda92739690e1f</v>
      </c>
      <c r="B6">
        <f>(T_All_K1_N7_P30[[#This Row],[1]]-T_All_K1_N7_P30[[#This Row],[0]])/ABS(T_All_K1_N7_P30[[#This Row],[0]])</f>
        <v>0.64735813098450024</v>
      </c>
      <c r="C6">
        <f>(T_All_K1_N7_P30[[#This Row],[2]]-T_All_K1_N7_P30[[#This Row],[1]])/ABS(T_All_K1_N7_P30[[#This Row],[1]])</f>
        <v>0.37564228866692817</v>
      </c>
      <c r="D6">
        <f>(T_All_K1_N7_P30[[#This Row],[3]]-T_All_K1_N7_P30[[#This Row],[2]])/ABS(T_All_K1_N7_P30[[#This Row],[2]])</f>
        <v>-0.20303966241048366</v>
      </c>
      <c r="E6">
        <f>(T_All_K1_N7_P30[[#This Row],[4]]-T_All_K1_N7_P30[[#This Row],[3]])/ABS(T_All_K1_N7_P30[[#This Row],[3]])</f>
        <v>0.14666474105317168</v>
      </c>
      <c r="F6">
        <f>(T_All_K1_N7_P30[[#This Row],[5]]-T_All_K1_N7_P30[[#This Row],[4]])/ABS(T_All_K1_N7_P30[[#This Row],[4]])</f>
        <v>0.13561521459412235</v>
      </c>
      <c r="M6">
        <f t="shared" si="0"/>
        <v>0.22044814257764775</v>
      </c>
      <c r="N6">
        <f>(T_All_K1_N7_P30[[#This Row],[5]]-T_All_K1_N7_P30[[#This Row],[0]])/ABS(T_All_K1_N7_P30[[#This Row],[0]])</f>
        <v>1.3517865980301407</v>
      </c>
    </row>
    <row r="7" spans="1:14" x14ac:dyDescent="0.25">
      <c r="A7" t="str">
        <f>T_All_K1_N7_P30[[#This Row],[Identifier]]</f>
        <v>883602025b8704dafc2f802334a37bc794e8e965cd7a33ab22870122cb49793f</v>
      </c>
      <c r="B7">
        <f>(T_All_K1_N7_P30[[#This Row],[1]]-T_All_K1_N7_P30[[#This Row],[0]])/ABS(T_All_K1_N7_P30[[#This Row],[0]])</f>
        <v>7.1693734699481135E-2</v>
      </c>
      <c r="C7">
        <f>(T_All_K1_N7_P30[[#This Row],[2]]-T_All_K1_N7_P30[[#This Row],[1]])/ABS(T_All_K1_N7_P30[[#This Row],[1]])</f>
        <v>-0.51389527713919825</v>
      </c>
      <c r="D7">
        <f>(T_All_K1_N7_P30[[#This Row],[3]]-T_All_K1_N7_P30[[#This Row],[2]])/ABS(T_All_K1_N7_P30[[#This Row],[2]])</f>
        <v>1.7644562080426136</v>
      </c>
      <c r="E7">
        <f>(T_All_K1_N7_P30[[#This Row],[4]]-T_All_K1_N7_P30[[#This Row],[3]])/ABS(T_All_K1_N7_P30[[#This Row],[3]])</f>
        <v>-0.4320980303108759</v>
      </c>
      <c r="F7">
        <f>(T_All_K1_N7_P30[[#This Row],[5]]-T_All_K1_N7_P30[[#This Row],[4]])/ABS(T_All_K1_N7_P30[[#This Row],[4]])</f>
        <v>-0.38099320891397104</v>
      </c>
      <c r="M7">
        <f t="shared" si="0"/>
        <v>0.10183268527560989</v>
      </c>
      <c r="N7">
        <f>(T_All_K1_N7_P30[[#This Row],[5]]-T_All_K1_N7_P30[[#This Row],[0]])/ABS(T_All_K1_N7_P30[[#This Row],[0]])</f>
        <v>-0.49373368086496278</v>
      </c>
    </row>
    <row r="8" spans="1:14" x14ac:dyDescent="0.25">
      <c r="A8" t="str">
        <f>T_All_K1_N7_P30[[#This Row],[Identifier]]</f>
        <v>e1e600b4c1b60a279475d838436f5c7fe98b6803d12e009a296bb17b6c8979c5</v>
      </c>
      <c r="B8">
        <f>(T_All_K1_N7_P30[[#This Row],[1]]-T_All_K1_N7_P30[[#This Row],[0]])/ABS(T_All_K1_N7_P30[[#This Row],[0]])</f>
        <v>-5.5135867224823394E-2</v>
      </c>
      <c r="C8">
        <f>(T_All_K1_N7_P30[[#This Row],[2]]-T_All_K1_N7_P30[[#This Row],[1]])/ABS(T_All_K1_N7_P30[[#This Row],[1]])</f>
        <v>2.7137095926385312E-2</v>
      </c>
      <c r="D8">
        <f>(T_All_K1_N7_P30[[#This Row],[3]]-T_All_K1_N7_P30[[#This Row],[2]])/ABS(T_All_K1_N7_P30[[#This Row],[2]])</f>
        <v>-0.25387913451412381</v>
      </c>
      <c r="E8">
        <f>(T_All_K1_N7_P30[[#This Row],[4]]-T_All_K1_N7_P30[[#This Row],[3]])/ABS(T_All_K1_N7_P30[[#This Row],[3]])</f>
        <v>-0.94214035016641462</v>
      </c>
      <c r="F8">
        <f>(T_All_K1_N7_P30[[#This Row],[5]]-T_All_K1_N7_P30[[#This Row],[4]])/ABS(T_All_K1_N7_P30[[#This Row],[4]])</f>
        <v>9.5606910016154618</v>
      </c>
      <c r="M8">
        <f t="shared" si="0"/>
        <v>1.6673345491272973</v>
      </c>
      <c r="N8">
        <f>(T_All_K1_N7_P30[[#This Row],[5]]-T_All_K1_N7_P30[[#This Row],[0]])/ABS(T_All_K1_N7_P30[[#This Row],[0]])</f>
        <v>-0.5575388948297203</v>
      </c>
    </row>
    <row r="9" spans="1:14" x14ac:dyDescent="0.25">
      <c r="A9" t="str">
        <f>T_All_K1_N7_P30[[#This Row],[Identifier]]</f>
        <v>3faa1d7298091e258303dbcfb2e23e1fdbe050d86f4d6b1789a1c5d5fdf8f5f9</v>
      </c>
      <c r="B9">
        <f>(T_All_K1_N7_P30[[#This Row],[1]]-T_All_K1_N7_P30[[#This Row],[0]])/ABS(T_All_K1_N7_P30[[#This Row],[0]])</f>
        <v>2.2012139129251729</v>
      </c>
      <c r="C9">
        <f>(T_All_K1_N7_P30[[#This Row],[2]]-T_All_K1_N7_P30[[#This Row],[1]])/ABS(T_All_K1_N7_P30[[#This Row],[1]])</f>
        <v>-0.50221678652177393</v>
      </c>
      <c r="D9">
        <f>(T_All_K1_N7_P30[[#This Row],[3]]-T_All_K1_N7_P30[[#This Row],[2]])/ABS(T_All_K1_N7_P30[[#This Row],[2]])</f>
        <v>0.8888680657013962</v>
      </c>
      <c r="E9">
        <f>(T_All_K1_N7_P30[[#This Row],[4]]-T_All_K1_N7_P30[[#This Row],[3]])/ABS(T_All_K1_N7_P30[[#This Row],[3]])</f>
        <v>-0.21853496330393185</v>
      </c>
      <c r="F9">
        <f>(T_All_K1_N7_P30[[#This Row],[5]]-T_All_K1_N7_P30[[#This Row],[4]])/ABS(T_All_K1_N7_P30[[#This Row],[4]])</f>
        <v>-4.144714989150429E-2</v>
      </c>
      <c r="M9">
        <f t="shared" si="0"/>
        <v>0.46557661578187182</v>
      </c>
      <c r="N9">
        <f>(T_All_K1_N7_P30[[#This Row],[5]]-T_All_K1_N7_P30[[#This Row],[0]])/ABS(T_All_K1_N7_P30[[#This Row],[0]])</f>
        <v>1.2546658242684319</v>
      </c>
    </row>
    <row r="10" spans="1:14" x14ac:dyDescent="0.25">
      <c r="B10" t="s">
        <v>22</v>
      </c>
      <c r="C10" s="5" t="s">
        <v>23</v>
      </c>
      <c r="D10" s="6" t="s">
        <v>24</v>
      </c>
      <c r="E10" s="6" t="s">
        <v>25</v>
      </c>
      <c r="F10" s="6" t="s">
        <v>26</v>
      </c>
    </row>
    <row r="11" spans="1:14" x14ac:dyDescent="0.25">
      <c r="A11" t="s">
        <v>32</v>
      </c>
      <c r="B11">
        <f>AVERAGE(B2:B9)</f>
        <v>0.31841774641641163</v>
      </c>
      <c r="C11">
        <f t="shared" ref="C11:F11" si="1">AVERAGE(C2:C9)</f>
        <v>0.2144761486888537</v>
      </c>
      <c r="D11">
        <f t="shared" si="1"/>
        <v>0.17276837673088818</v>
      </c>
      <c r="E11">
        <f>AVERAGE(E3:E9)</f>
        <v>-0.34115899931978827</v>
      </c>
      <c r="F11">
        <f t="shared" si="1"/>
        <v>1.1432434829703977</v>
      </c>
      <c r="L11" t="s">
        <v>32</v>
      </c>
      <c r="M11">
        <f>AVERAGE(M3:M9)</f>
        <v>0.42666846659083657</v>
      </c>
      <c r="N11">
        <f>AVERAGE(N2:N9)</f>
        <v>0.29522589633588975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F9AE41-864E-4DEE-83D1-140C60385C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T-All_K1 N7 P30</vt:lpstr>
      <vt:lpstr>R Squared</vt:lpstr>
      <vt:lpstr>Relative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2025-11-26T04:05:36Z</dcterms:created>
  <dcterms:modified xsi:type="dcterms:W3CDTF">2025-11-26T05:04:21Z</dcterms:modified>
</cp:coreProperties>
</file>