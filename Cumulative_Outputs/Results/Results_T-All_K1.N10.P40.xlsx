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1AEABB2C-F102-42D4-8FE3-CF8622FACE2A}" xr6:coauthVersionLast="47" xr6:coauthVersionMax="47" xr10:uidLastSave="{00000000-0000-0000-0000-000000000000}"/>
  <bookViews>
    <workbookView xWindow="19200" yWindow="0" windowWidth="19200" windowHeight="21000" activeTab="1" xr2:uid="{5CF18307-C3AA-4F8D-B283-B3AED6997DE3}"/>
  </bookViews>
  <sheets>
    <sheet name="T-All_K1 N10 P40" sheetId="7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P40'!$A$1:$L$11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A3" i="3"/>
  <c r="A4" i="3"/>
  <c r="A5" i="3"/>
  <c r="A6" i="3"/>
  <c r="A7" i="3"/>
  <c r="A8" i="3"/>
  <c r="A9" i="3"/>
  <c r="A10" i="3"/>
  <c r="A11" i="3"/>
  <c r="A2" i="3"/>
  <c r="B3" i="3"/>
  <c r="B4" i="3"/>
  <c r="B5" i="3"/>
  <c r="B6" i="3"/>
  <c r="B7" i="3"/>
  <c r="B8" i="3"/>
  <c r="B9" i="3"/>
  <c r="B10" i="3"/>
  <c r="B11" i="3"/>
  <c r="B2" i="3"/>
  <c r="K2" i="3" s="1"/>
  <c r="D2" i="3"/>
  <c r="E2" i="3"/>
  <c r="F2" i="3"/>
  <c r="G2" i="3"/>
  <c r="H2" i="3"/>
  <c r="I2" i="3"/>
  <c r="D3" i="3"/>
  <c r="E3" i="3"/>
  <c r="F3" i="3"/>
  <c r="G3" i="3"/>
  <c r="H3" i="3"/>
  <c r="I3" i="3"/>
  <c r="D4" i="3"/>
  <c r="E4" i="3"/>
  <c r="F4" i="3"/>
  <c r="G4" i="3"/>
  <c r="H4" i="3"/>
  <c r="I4" i="3"/>
  <c r="D5" i="3"/>
  <c r="E5" i="3"/>
  <c r="F5" i="3"/>
  <c r="G5" i="3"/>
  <c r="H5" i="3"/>
  <c r="I5" i="3"/>
  <c r="D6" i="3"/>
  <c r="E6" i="3"/>
  <c r="F6" i="3"/>
  <c r="G6" i="3"/>
  <c r="H6" i="3"/>
  <c r="I6" i="3"/>
  <c r="D7" i="3"/>
  <c r="E7" i="3"/>
  <c r="F7" i="3"/>
  <c r="G7" i="3"/>
  <c r="H7" i="3"/>
  <c r="I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I10" i="3"/>
  <c r="D11" i="3"/>
  <c r="E11" i="3"/>
  <c r="F11" i="3"/>
  <c r="G11" i="3"/>
  <c r="H11" i="3"/>
  <c r="I11" i="3"/>
  <c r="C3" i="3"/>
  <c r="C4" i="3"/>
  <c r="C5" i="3"/>
  <c r="C6" i="3"/>
  <c r="C7" i="3"/>
  <c r="C8" i="3"/>
  <c r="C9" i="3"/>
  <c r="C10" i="3"/>
  <c r="C11" i="3"/>
  <c r="C2" i="3"/>
  <c r="C2" i="1"/>
  <c r="D2" i="1"/>
  <c r="E2" i="1"/>
  <c r="F2" i="1"/>
  <c r="G2" i="1"/>
  <c r="H2" i="1"/>
  <c r="I2" i="1"/>
  <c r="J2" i="1"/>
  <c r="C3" i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B3" i="1"/>
  <c r="B4" i="1"/>
  <c r="B5" i="1"/>
  <c r="B6" i="1"/>
  <c r="B7" i="1"/>
  <c r="B8" i="1"/>
  <c r="B9" i="1"/>
  <c r="B10" i="1"/>
  <c r="B11" i="1"/>
  <c r="B2" i="1"/>
  <c r="A3" i="1" l="1"/>
  <c r="A4" i="1"/>
  <c r="A5" i="1"/>
  <c r="A6" i="1"/>
  <c r="A7" i="1"/>
  <c r="A8" i="1"/>
  <c r="A9" i="1"/>
  <c r="A10" i="1"/>
  <c r="A11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EA5DA-E8D2-4FC1-82D5-889D0746424F}" keepAlive="1" name="Query - T-All_K1 N10 P40" description="Connection to the 'T-All_K1 N10 P40' query in the workbook." type="5" refreshedVersion="8" background="1" saveData="1">
    <dbPr connection="Provider=Microsoft.Mashup.OleDb.1;Data Source=$Workbook$;Location=&quot;T-All_K1 N10 P40&quot;;Extended Properties=&quot;&quot;" command="SELECT * FROM [T-All_K1 N10 P4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<sst xmlns="http://schemas.openxmlformats.org/spreadsheetml/2006/main" count="50" uniqueCount="39">
  <si>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</si>
  <si>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</si>
  <si>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</si>
  <si>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</si>
  <si>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</si>
  <si>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</si>
  <si>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</si>
  <si>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</si>
  <si>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</si>
  <si>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</si>
  <si>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</si>
  <si>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</si>
  <si>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</si>
  <si>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</si>
  <si>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</si>
  <si>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</si>
  <si>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</si>
  <si>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</si>
  <si>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</si>
  <si>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</si>
  <si>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</si>
  <si>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</si>
  <si>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</si>
  <si>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</si>
  <si>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</si>
  <si>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</si>
  <si>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</si>
  <si>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</si>
  <si>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</si>
  <si>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9c21d8b4a54d564164de037f0162aac5e8d61d4cf7a47f59e9ac0fcb1d830107</t>
  </si>
  <si>
    <t>7175a67f4d58ad3d811c7a46d3a03300485bd1af04a169f8597acf98593feeff</t>
  </si>
  <si>
    <t>41ef355ede758b2099f75dc24a5bf6b77bf9f7041ed293712ca8486ef81afd0d</t>
  </si>
  <si>
    <t>423f72babeea5a2f6d894e0a9c48348ac593d815311089de2b4db5df42d437e6</t>
  </si>
  <si>
    <t>52d2156d0710ede59757a7808245bb7cfb66a0d1453e7658a561a09d62a6d5f6</t>
  </si>
  <si>
    <t>e9473dc0eb8d7c04e169ce22022e5d5d13f45562f9e3612b05628d0609c3b144</t>
  </si>
  <si>
    <t>43e5b147fc92323ebb9a81a4d12b77a48162842e4f0ad740559c031f72a64db3</t>
  </si>
  <si>
    <t>5a6b4379086b2f42a85772b215185a5195eb9908653ca26c67b25034e9d09b63</t>
  </si>
  <si>
    <t>de6b1f4d6f73ae2199c831e95a2a2a6491b491af071fff7b08ef6bdf910c12cf</t>
  </si>
  <si>
    <t>c8b7ba4608254e07f4aadd9eb50105ff3828a831fe758b9e83e55057c175fb2b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</si>
</sst>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2BCD60-66A3-42C5-9BD9-FFC59534ADE2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6E7F8-4329-4A31-ABB1-4DF712F49450}" name="T_All_K1_N10_P40" displayName="T_All_K1_N10_P40" ref="A1:L11" tableType="queryTable" totalsRowShown="0">
  <autoFilter ref="A1:L11" xr:uid="{0036E7F8-4329-4A31-ABB1-4DF712F49450}"/>
  <tableColumns count="12">
    <tableColumn id="1" xr3:uid="{EC409536-E953-4829-B68A-024EBF660F2D}" uniqueName="1" name="Identifier" queryTableFieldId="1" dataDxfId="8"/>
    <tableColumn id="2" xr3:uid="{965B48ED-3DDD-463A-AD0C-620D338EEC55}" uniqueName="2" name="0" queryTableFieldId="2"/>
    <tableColumn id="3" xr3:uid="{CC121D0E-3E0C-4634-BF15-4E5D1CEEF3FA}" uniqueName="3" name="1" queryTableFieldId="3"/>
    <tableColumn id="4" xr3:uid="{E072E0AA-2864-42A2-905B-89EF42D019EA}" uniqueName="4" name="2" queryTableFieldId="4"/>
    <tableColumn id="5" xr3:uid="{A97F62F1-5AE2-44B7-BDCA-FC0DE0121500}" uniqueName="5" name="3" queryTableFieldId="5"/>
    <tableColumn id="6" xr3:uid="{B6D02B44-B59F-49CC-BB20-0C2A9D9136E7}" uniqueName="6" name="4" queryTableFieldId="6"/>
    <tableColumn id="7" xr3:uid="{07BF5630-9BCF-4D26-8F76-1369EA00A80F}" uniqueName="7" name="5" queryTableFieldId="7"/>
    <tableColumn id="8" xr3:uid="{2ADC88E4-84FB-49EA-A0EC-EF9A4316B21F}" uniqueName="8" name="6" queryTableFieldId="8"/>
    <tableColumn id="9" xr3:uid="{B80A0707-71C5-4FE6-B372-44377FF1935B}" uniqueName="9" name="7" queryTableFieldId="9"/>
    <tableColumn id="10" xr3:uid="{C5D13168-ADF4-47A5-B469-8211DF5B2E97}" uniqueName="10" name="8" queryTableFieldId="10"/>
    <tableColumn id="11" xr3:uid="{4D757D90-60CB-448F-97ED-3086CF3D1461}" uniqueName="11" name="9" queryTableFieldId="11"/>
    <tableColumn id="12" xr3:uid="{C32AC787-6FE6-4775-A001-8A42DBDF5CDE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045D-09CC-4117-9E16-6073D781BFF9}">
  <dimension ref="A1:L11"/>
  <sheetViews>
    <sheetView workbookViewId="0"/>
  </sheetViews>
  <sheetFormatPr defaultRowHeight="15" x14ac:dyDescent="0.25"/>
  <cols>
    <col min="1" max="1" width="68.14062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4.5067024023521967</v>
      </c>
      <c r="C2">
        <v>5.8117208148121904</v>
      </c>
      <c r="D2">
        <v>4.4550297118444169</v>
      </c>
      <c r="E2">
        <v>2.9984144226389886</v>
      </c>
      <c r="F2">
        <v>8.5679818385713311</v>
      </c>
      <c r="G2">
        <v>9.169720519479414</v>
      </c>
      <c r="H2">
        <v>10.181114300910576</v>
      </c>
      <c r="I2">
        <v>13.151016103746683</v>
      </c>
      <c r="J2">
        <v>10.434055772730657</v>
      </c>
    </row>
    <row r="3" spans="1:12" x14ac:dyDescent="0.25">
      <c r="A3" s="8" t="s">
        <v>30</v>
      </c>
      <c r="B3">
        <v>3.3338869010859971</v>
      </c>
      <c r="C3">
        <v>2.1218571466425074</v>
      </c>
      <c r="D3">
        <v>4.4341263342557058</v>
      </c>
      <c r="E3">
        <v>7.4579014248348861</v>
      </c>
      <c r="F3">
        <v>9.2785291133101779</v>
      </c>
      <c r="G3">
        <v>7.8746077477727177</v>
      </c>
      <c r="H3">
        <v>6.9211240863068841</v>
      </c>
      <c r="I3">
        <v>8.6909663408386706</v>
      </c>
      <c r="J3">
        <v>10.962261681392061</v>
      </c>
    </row>
    <row r="4" spans="1:12" x14ac:dyDescent="0.25">
      <c r="A4" s="8" t="s">
        <v>31</v>
      </c>
      <c r="B4">
        <v>6.9620512934162493</v>
      </c>
      <c r="C4">
        <v>4.9009107032579973</v>
      </c>
      <c r="D4">
        <v>3.6704239517783996</v>
      </c>
      <c r="E4">
        <v>9.7614460818383737</v>
      </c>
      <c r="F4">
        <v>8.5429663739386363</v>
      </c>
      <c r="G4">
        <v>8.9553916675947338</v>
      </c>
      <c r="H4">
        <v>9.1563713301988905</v>
      </c>
      <c r="I4">
        <v>9.8975638061104707</v>
      </c>
      <c r="J4">
        <v>18.358164107871083</v>
      </c>
    </row>
    <row r="5" spans="1:12" x14ac:dyDescent="0.25">
      <c r="A5" s="8" t="s">
        <v>32</v>
      </c>
      <c r="B5">
        <v>7.7387632494592165</v>
      </c>
      <c r="C5">
        <v>10.032868620211916</v>
      </c>
      <c r="D5">
        <v>11.097145743980809</v>
      </c>
      <c r="E5">
        <v>9.5474885664058178</v>
      </c>
      <c r="F5">
        <v>15.855458833684564</v>
      </c>
      <c r="G5">
        <v>9.9581304943696018</v>
      </c>
      <c r="H5">
        <v>10.316868663721893</v>
      </c>
      <c r="I5">
        <v>9.4488497947905792</v>
      </c>
      <c r="J5">
        <v>16.46826002892972</v>
      </c>
    </row>
    <row r="6" spans="1:12" x14ac:dyDescent="0.25">
      <c r="A6" s="8" t="s">
        <v>33</v>
      </c>
      <c r="B6">
        <v>10.194010020522274</v>
      </c>
      <c r="C6">
        <v>3.1229938143696585</v>
      </c>
      <c r="D6">
        <v>5.6388984212277578</v>
      </c>
      <c r="E6">
        <v>2.1984742441850149</v>
      </c>
      <c r="F6">
        <v>4.8232890834476452</v>
      </c>
      <c r="G6">
        <v>1.9582956221752195</v>
      </c>
      <c r="H6">
        <v>2.6368260516792112</v>
      </c>
      <c r="I6">
        <v>3.8956014940551298</v>
      </c>
      <c r="J6">
        <v>4.9006704987241259</v>
      </c>
    </row>
    <row r="7" spans="1:12" x14ac:dyDescent="0.25">
      <c r="A7" s="8" t="s">
        <v>34</v>
      </c>
      <c r="B7">
        <v>6.5576161756817521</v>
      </c>
      <c r="C7">
        <v>3.4456564184904455</v>
      </c>
      <c r="D7">
        <v>3.3970554691560233</v>
      </c>
      <c r="E7">
        <v>5.85629835473984</v>
      </c>
      <c r="F7">
        <v>5.5865549303072557</v>
      </c>
      <c r="G7">
        <v>2.7756357948245558</v>
      </c>
      <c r="H7">
        <v>5.5100108019577352</v>
      </c>
      <c r="I7">
        <v>6.3252371592973233</v>
      </c>
      <c r="J7">
        <v>3.1941256356720151</v>
      </c>
    </row>
    <row r="8" spans="1:12" x14ac:dyDescent="0.25">
      <c r="A8" s="8" t="s">
        <v>35</v>
      </c>
      <c r="B8">
        <v>3.074096480094958</v>
      </c>
      <c r="C8">
        <v>2.936628439882115</v>
      </c>
      <c r="D8">
        <v>2.8200026788119805</v>
      </c>
      <c r="E8">
        <v>3.2021175123767933</v>
      </c>
      <c r="F8">
        <v>4.2680616402246807</v>
      </c>
      <c r="G8">
        <v>5.7644194040485353</v>
      </c>
      <c r="H8">
        <v>8.6864131697636893</v>
      </c>
      <c r="I8">
        <v>7.8653091050177446</v>
      </c>
      <c r="J8">
        <v>8.8245116084343849</v>
      </c>
    </row>
    <row r="9" spans="1:12" x14ac:dyDescent="0.25">
      <c r="A9" s="8" t="s">
        <v>36</v>
      </c>
      <c r="B9">
        <v>8.7350386750733762</v>
      </c>
      <c r="C9">
        <v>6.0115188611041575</v>
      </c>
      <c r="D9">
        <v>4.649873890967501</v>
      </c>
      <c r="E9">
        <v>7.9187929366216796</v>
      </c>
      <c r="F9">
        <v>7.9419759115004318</v>
      </c>
      <c r="G9">
        <v>9.0985934742677301</v>
      </c>
      <c r="H9">
        <v>7.9054346195402703</v>
      </c>
      <c r="I9">
        <v>7.517436785067459</v>
      </c>
      <c r="J9">
        <v>7.8327858511394606</v>
      </c>
    </row>
    <row r="10" spans="1:12" x14ac:dyDescent="0.25">
      <c r="A10" s="8" t="s">
        <v>37</v>
      </c>
      <c r="B10">
        <v>5.0369677945840472</v>
      </c>
      <c r="C10">
        <v>4.3823849222597628</v>
      </c>
      <c r="D10">
        <v>6.2044689501632595</v>
      </c>
      <c r="E10">
        <v>2.6507897340266182</v>
      </c>
      <c r="F10">
        <v>0.75161016799664337</v>
      </c>
      <c r="G10">
        <v>2.4726778815487878</v>
      </c>
      <c r="H10">
        <v>5.9140680767740603</v>
      </c>
      <c r="I10">
        <v>5.194411217458776</v>
      </c>
      <c r="J10">
        <v>3.702848128231659</v>
      </c>
    </row>
    <row r="11" spans="1:12" x14ac:dyDescent="0.25">
      <c r="A11" s="8" t="s">
        <v>38</v>
      </c>
      <c r="B11">
        <v>4.2576573735710008</v>
      </c>
      <c r="C11">
        <v>3.8478407669184418</v>
      </c>
      <c r="D11">
        <v>4.8940887623917799</v>
      </c>
      <c r="E11">
        <v>4.1248992604840211</v>
      </c>
      <c r="F11">
        <v>2.2013146495068781</v>
      </c>
      <c r="G11">
        <v>2.9537198157352678</v>
      </c>
      <c r="H11">
        <v>3.6453748611133472</v>
      </c>
      <c r="I11">
        <v>7.127760630870621</v>
      </c>
      <c r="J11">
        <v>6.3272651894301113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tabSelected="1" zoomScale="130" zoomScaleNormal="130" workbookViewId="0">
      <selection activeCell="M11" sqref="M11"/>
    </sheetView>
  </sheetViews>
  <sheetFormatPr defaultRowHeight="15" x14ac:dyDescent="0.25"/>
  <cols>
    <col min="1" max="1" width="71.28515625" bestFit="1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T_All_K1_N10_P40[[#This Row],[Identifier]]</f>
        <v>9c21d8b4a54d564164de037f0162aac5e8d61d4cf7a47f59e9ac0fcb1d830107</v>
      </c>
      <c r="B2">
        <f>T_All_K1_N10_P40[[#This Row],[0]]</f>
        <v>4.5067024023521967</v>
      </c>
      <c r="C2">
        <f>T_All_K1_N10_P40[[#This Row],[1]]</f>
        <v>5.8117208148121904</v>
      </c>
      <c r="D2">
        <f>T_All_K1_N10_P40[[#This Row],[2]]</f>
        <v>4.4550297118444169</v>
      </c>
      <c r="E2">
        <f>T_All_K1_N10_P40[[#This Row],[3]]</f>
        <v>2.9984144226389886</v>
      </c>
      <c r="F2">
        <f>T_All_K1_N10_P40[[#This Row],[4]]</f>
        <v>8.5679818385713311</v>
      </c>
      <c r="G2">
        <f>T_All_K1_N10_P40[[#This Row],[5]]</f>
        <v>9.169720519479414</v>
      </c>
      <c r="H2">
        <f>T_All_K1_N10_P40[[#This Row],[6]]</f>
        <v>10.181114300910576</v>
      </c>
      <c r="I2">
        <f>T_All_K1_N10_P40[[#This Row],[7]]</f>
        <v>13.151016103746683</v>
      </c>
      <c r="J2">
        <f>T_All_K1_N10_P40[[#This Row],[8]]</f>
        <v>10.434055772730657</v>
      </c>
      <c r="L2" s="3">
        <f t="shared" ref="L2:M11" si="0">RSQ(B2:J2,$B$1:$J$1)</f>
        <v>0.72190757793603988</v>
      </c>
    </row>
    <row r="3" spans="1:12" x14ac:dyDescent="0.25">
      <c r="A3" t="str">
        <f>T_All_K1_N10_P40[[#This Row],[Identifier]]</f>
        <v>7175a67f4d58ad3d811c7a46d3a03300485bd1af04a169f8597acf98593feeff</v>
      </c>
      <c r="B3">
        <f>T_All_K1_N10_P40[[#This Row],[0]]</f>
        <v>3.3338869010859971</v>
      </c>
      <c r="C3">
        <f>T_All_K1_N10_P40[[#This Row],[1]]</f>
        <v>2.1218571466425074</v>
      </c>
      <c r="D3">
        <f>T_All_K1_N10_P40[[#This Row],[2]]</f>
        <v>4.4341263342557058</v>
      </c>
      <c r="E3">
        <f>T_All_K1_N10_P40[[#This Row],[3]]</f>
        <v>7.4579014248348861</v>
      </c>
      <c r="F3">
        <f>T_All_K1_N10_P40[[#This Row],[4]]</f>
        <v>9.2785291133101779</v>
      </c>
      <c r="G3">
        <f>T_All_K1_N10_P40[[#This Row],[5]]</f>
        <v>7.8746077477727177</v>
      </c>
      <c r="H3">
        <f>T_All_K1_N10_P40[[#This Row],[6]]</f>
        <v>6.9211240863068841</v>
      </c>
      <c r="I3">
        <f>T_All_K1_N10_P40[[#This Row],[7]]</f>
        <v>8.6909663408386706</v>
      </c>
      <c r="J3">
        <f>T_All_K1_N10_P40[[#This Row],[8]]</f>
        <v>10.962261681392061</v>
      </c>
      <c r="L3" s="3">
        <f t="shared" si="0"/>
        <v>0.75644136125506733</v>
      </c>
    </row>
    <row r="4" spans="1:12" x14ac:dyDescent="0.25">
      <c r="A4" t="str">
        <f>T_All_K1_N10_P40[[#This Row],[Identifier]]</f>
        <v>41ef355ede758b2099f75dc24a5bf6b77bf9f7041ed293712ca8486ef81afd0d</v>
      </c>
      <c r="B4">
        <f>T_All_K1_N10_P40[[#This Row],[0]]</f>
        <v>6.9620512934162493</v>
      </c>
      <c r="C4">
        <f>T_All_K1_N10_P40[[#This Row],[1]]</f>
        <v>4.9009107032579973</v>
      </c>
      <c r="D4">
        <f>T_All_K1_N10_P40[[#This Row],[2]]</f>
        <v>3.6704239517783996</v>
      </c>
      <c r="E4">
        <f>T_All_K1_N10_P40[[#This Row],[3]]</f>
        <v>9.7614460818383737</v>
      </c>
      <c r="F4">
        <f>T_All_K1_N10_P40[[#This Row],[4]]</f>
        <v>8.5429663739386363</v>
      </c>
      <c r="G4">
        <f>T_All_K1_N10_P40[[#This Row],[5]]</f>
        <v>8.9553916675947338</v>
      </c>
      <c r="H4">
        <f>T_All_K1_N10_P40[[#This Row],[6]]</f>
        <v>9.1563713301988905</v>
      </c>
      <c r="I4">
        <f>T_All_K1_N10_P40[[#This Row],[7]]</f>
        <v>9.8975638061104707</v>
      </c>
      <c r="J4">
        <f>T_All_K1_N10_P40[[#This Row],[8]]</f>
        <v>18.358164107871083</v>
      </c>
      <c r="L4" s="3">
        <f t="shared" si="0"/>
        <v>0.60224918017845142</v>
      </c>
    </row>
    <row r="5" spans="1:12" x14ac:dyDescent="0.25">
      <c r="A5" t="str">
        <f>T_All_K1_N10_P40[[#This Row],[Identifier]]</f>
        <v>423f72babeea5a2f6d894e0a9c48348ac593d815311089de2b4db5df42d437e6</v>
      </c>
      <c r="B5">
        <f>T_All_K1_N10_P40[[#This Row],[0]]</f>
        <v>7.7387632494592165</v>
      </c>
      <c r="C5">
        <f>T_All_K1_N10_P40[[#This Row],[1]]</f>
        <v>10.032868620211916</v>
      </c>
      <c r="D5">
        <f>T_All_K1_N10_P40[[#This Row],[2]]</f>
        <v>11.097145743980809</v>
      </c>
      <c r="E5">
        <f>T_All_K1_N10_P40[[#This Row],[3]]</f>
        <v>9.5474885664058178</v>
      </c>
      <c r="F5">
        <f>T_All_K1_N10_P40[[#This Row],[4]]</f>
        <v>15.855458833684564</v>
      </c>
      <c r="G5">
        <f>T_All_K1_N10_P40[[#This Row],[5]]</f>
        <v>9.9581304943696018</v>
      </c>
      <c r="H5">
        <f>T_All_K1_N10_P40[[#This Row],[6]]</f>
        <v>10.316868663721893</v>
      </c>
      <c r="I5">
        <f>T_All_K1_N10_P40[[#This Row],[7]]</f>
        <v>9.4488497947905792</v>
      </c>
      <c r="J5">
        <f>T_All_K1_N10_P40[[#This Row],[8]]</f>
        <v>16.46826002892972</v>
      </c>
      <c r="L5" s="3">
        <f t="shared" si="0"/>
        <v>0.24099741224068641</v>
      </c>
    </row>
    <row r="6" spans="1:12" x14ac:dyDescent="0.25">
      <c r="A6" t="str">
        <f>T_All_K1_N10_P40[[#This Row],[Identifier]]</f>
        <v>52d2156d0710ede59757a7808245bb7cfb66a0d1453e7658a561a09d62a6d5f6</v>
      </c>
      <c r="B6">
        <f>T_All_K1_N10_P40[[#This Row],[0]]</f>
        <v>10.194010020522274</v>
      </c>
      <c r="C6">
        <f>T_All_K1_N10_P40[[#This Row],[1]]</f>
        <v>3.1229938143696585</v>
      </c>
      <c r="D6">
        <f>T_All_K1_N10_P40[[#This Row],[2]]</f>
        <v>5.6388984212277578</v>
      </c>
      <c r="E6">
        <f>T_All_K1_N10_P40[[#This Row],[3]]</f>
        <v>2.1984742441850149</v>
      </c>
      <c r="F6">
        <f>T_All_K1_N10_P40[[#This Row],[4]]</f>
        <v>4.8232890834476452</v>
      </c>
      <c r="G6">
        <f>T_All_K1_N10_P40[[#This Row],[5]]</f>
        <v>1.9582956221752195</v>
      </c>
      <c r="H6">
        <f>T_All_K1_N10_P40[[#This Row],[6]]</f>
        <v>2.6368260516792112</v>
      </c>
      <c r="I6">
        <f>T_All_K1_N10_P40[[#This Row],[7]]</f>
        <v>3.8956014940551298</v>
      </c>
      <c r="J6">
        <f>T_All_K1_N10_P40[[#This Row],[8]]</f>
        <v>4.9006704987241259</v>
      </c>
      <c r="L6" s="3">
        <f t="shared" si="0"/>
        <v>0.20455202140163997</v>
      </c>
    </row>
    <row r="7" spans="1:12" x14ac:dyDescent="0.25">
      <c r="A7" t="str">
        <f>T_All_K1_N10_P40[[#This Row],[Identifier]]</f>
        <v>e9473dc0eb8d7c04e169ce22022e5d5d13f45562f9e3612b05628d0609c3b144</v>
      </c>
      <c r="B7">
        <f>T_All_K1_N10_P40[[#This Row],[0]]</f>
        <v>6.5576161756817521</v>
      </c>
      <c r="C7">
        <f>T_All_K1_N10_P40[[#This Row],[1]]</f>
        <v>3.4456564184904455</v>
      </c>
      <c r="D7">
        <f>T_All_K1_N10_P40[[#This Row],[2]]</f>
        <v>3.3970554691560233</v>
      </c>
      <c r="E7">
        <f>T_All_K1_N10_P40[[#This Row],[3]]</f>
        <v>5.85629835473984</v>
      </c>
      <c r="F7">
        <f>T_All_K1_N10_P40[[#This Row],[4]]</f>
        <v>5.5865549303072557</v>
      </c>
      <c r="G7">
        <f>T_All_K1_N10_P40[[#This Row],[5]]</f>
        <v>2.7756357948245558</v>
      </c>
      <c r="H7">
        <f>T_All_K1_N10_P40[[#This Row],[6]]</f>
        <v>5.5100108019577352</v>
      </c>
      <c r="I7">
        <f>T_All_K1_N10_P40[[#This Row],[7]]</f>
        <v>6.3252371592973233</v>
      </c>
      <c r="J7">
        <f>T_All_K1_N10_P40[[#This Row],[8]]</f>
        <v>3.1941256356720151</v>
      </c>
      <c r="L7" s="3">
        <f t="shared" si="0"/>
        <v>1.2402342273941059E-2</v>
      </c>
    </row>
    <row r="8" spans="1:12" x14ac:dyDescent="0.25">
      <c r="A8" t="str">
        <f>T_All_K1_N10_P40[[#This Row],[Identifier]]</f>
        <v>43e5b147fc92323ebb9a81a4d12b77a48162842e4f0ad740559c031f72a64db3</v>
      </c>
      <c r="B8">
        <f>T_All_K1_N10_P40[[#This Row],[0]]</f>
        <v>3.074096480094958</v>
      </c>
      <c r="C8">
        <f>T_All_K1_N10_P40[[#This Row],[1]]</f>
        <v>2.936628439882115</v>
      </c>
      <c r="D8">
        <f>T_All_K1_N10_P40[[#This Row],[2]]</f>
        <v>2.8200026788119805</v>
      </c>
      <c r="E8">
        <f>T_All_K1_N10_P40[[#This Row],[3]]</f>
        <v>3.2021175123767933</v>
      </c>
      <c r="F8">
        <f>T_All_K1_N10_P40[[#This Row],[4]]</f>
        <v>4.2680616402246807</v>
      </c>
      <c r="G8">
        <f>T_All_K1_N10_P40[[#This Row],[5]]</f>
        <v>5.7644194040485353</v>
      </c>
      <c r="H8">
        <f>T_All_K1_N10_P40[[#This Row],[6]]</f>
        <v>8.6864131697636893</v>
      </c>
      <c r="I8">
        <f>T_All_K1_N10_P40[[#This Row],[7]]</f>
        <v>7.8653091050177446</v>
      </c>
      <c r="J8">
        <f>T_All_K1_N10_P40[[#This Row],[8]]</f>
        <v>8.8245116084343849</v>
      </c>
      <c r="L8" s="3">
        <f t="shared" si="0"/>
        <v>0.85567931982543066</v>
      </c>
    </row>
    <row r="9" spans="1:12" x14ac:dyDescent="0.25">
      <c r="A9" t="str">
        <f>T_All_K1_N10_P40[[#This Row],[Identifier]]</f>
        <v>5a6b4379086b2f42a85772b215185a5195eb9908653ca26c67b25034e9d09b63</v>
      </c>
      <c r="B9">
        <f>T_All_K1_N10_P40[[#This Row],[0]]</f>
        <v>8.7350386750733762</v>
      </c>
      <c r="C9">
        <f>T_All_K1_N10_P40[[#This Row],[1]]</f>
        <v>6.0115188611041575</v>
      </c>
      <c r="D9">
        <f>T_All_K1_N10_P40[[#This Row],[2]]</f>
        <v>4.649873890967501</v>
      </c>
      <c r="E9">
        <f>T_All_K1_N10_P40[[#This Row],[3]]</f>
        <v>7.9187929366216796</v>
      </c>
      <c r="F9">
        <f>T_All_K1_N10_P40[[#This Row],[4]]</f>
        <v>7.9419759115004318</v>
      </c>
      <c r="G9">
        <f>T_All_K1_N10_P40[[#This Row],[5]]</f>
        <v>9.0985934742677301</v>
      </c>
      <c r="H9">
        <f>T_All_K1_N10_P40[[#This Row],[6]]</f>
        <v>7.9054346195402703</v>
      </c>
      <c r="I9">
        <f>T_All_K1_N10_P40[[#This Row],[7]]</f>
        <v>7.517436785067459</v>
      </c>
      <c r="J9">
        <f>T_All_K1_N10_P40[[#This Row],[8]]</f>
        <v>7.8327858511394606</v>
      </c>
      <c r="L9" s="3">
        <f t="shared" si="0"/>
        <v>8.1820115410298586E-2</v>
      </c>
    </row>
    <row r="10" spans="1:12" x14ac:dyDescent="0.25">
      <c r="A10" t="str">
        <f>T_All_K1_N10_P40[[#This Row],[Identifier]]</f>
        <v>de6b1f4d6f73ae2199c831e95a2a2a6491b491af071fff7b08ef6bdf910c12cf</v>
      </c>
      <c r="B10">
        <f>T_All_K1_N10_P40[[#This Row],[0]]</f>
        <v>5.0369677945840472</v>
      </c>
      <c r="C10">
        <f>T_All_K1_N10_P40[[#This Row],[1]]</f>
        <v>4.3823849222597628</v>
      </c>
      <c r="D10">
        <f>T_All_K1_N10_P40[[#This Row],[2]]</f>
        <v>6.2044689501632595</v>
      </c>
      <c r="E10">
        <f>T_All_K1_N10_P40[[#This Row],[3]]</f>
        <v>2.6507897340266182</v>
      </c>
      <c r="F10">
        <f>T_All_K1_N10_P40[[#This Row],[4]]</f>
        <v>0.75161016799664337</v>
      </c>
      <c r="G10">
        <f>T_All_K1_N10_P40[[#This Row],[5]]</f>
        <v>2.4726778815487878</v>
      </c>
      <c r="H10">
        <f>T_All_K1_N10_P40[[#This Row],[6]]</f>
        <v>5.9140680767740603</v>
      </c>
      <c r="I10">
        <f>T_All_K1_N10_P40[[#This Row],[7]]</f>
        <v>5.194411217458776</v>
      </c>
      <c r="J10">
        <f>T_All_K1_N10_P40[[#This Row],[8]]</f>
        <v>3.702848128231659</v>
      </c>
      <c r="L10" s="3">
        <f t="shared" si="0"/>
        <v>8.5988480610026501E-3</v>
      </c>
    </row>
    <row r="11" spans="1:12" x14ac:dyDescent="0.25">
      <c r="A11" t="str">
        <f>T_All_K1_N10_P40[[#This Row],[Identifier]]</f>
        <v>c8b7ba4608254e07f4aadd9eb50105ff3828a831fe758b9e83e55057c175fb2b</v>
      </c>
      <c r="B11">
        <f>T_All_K1_N10_P40[[#This Row],[0]]</f>
        <v>4.2576573735710008</v>
      </c>
      <c r="C11">
        <f>T_All_K1_N10_P40[[#This Row],[1]]</f>
        <v>3.8478407669184418</v>
      </c>
      <c r="D11">
        <f>T_All_K1_N10_P40[[#This Row],[2]]</f>
        <v>4.8940887623917799</v>
      </c>
      <c r="E11">
        <f>T_All_K1_N10_P40[[#This Row],[3]]</f>
        <v>4.1248992604840211</v>
      </c>
      <c r="F11">
        <f>T_All_K1_N10_P40[[#This Row],[4]]</f>
        <v>2.2013146495068781</v>
      </c>
      <c r="G11">
        <f>T_All_K1_N10_P40[[#This Row],[5]]</f>
        <v>2.9537198157352678</v>
      </c>
      <c r="H11">
        <f>T_All_K1_N10_P40[[#This Row],[6]]</f>
        <v>3.6453748611133472</v>
      </c>
      <c r="I11">
        <f>T_All_K1_N10_P40[[#This Row],[7]]</f>
        <v>7.127760630870621</v>
      </c>
      <c r="J11">
        <f>T_All_K1_N10_P40[[#This Row],[8]]</f>
        <v>6.3272651894301113</v>
      </c>
      <c r="L11" s="3">
        <f t="shared" si="0"/>
        <v>0.18039615822070007</v>
      </c>
    </row>
    <row r="14" spans="1:12" x14ac:dyDescent="0.25">
      <c r="K14" s="2" t="s">
        <v>13</v>
      </c>
      <c r="L14" s="3">
        <f>AVERAGE(L2:L11)</f>
        <v>0.36650443368032587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6.039679036584106</v>
      </c>
      <c r="C18" s="5">
        <f t="shared" ref="C18:J18" si="1">AVERAGE(C2:C11)</f>
        <v>4.6614380507949189</v>
      </c>
      <c r="D18" s="5">
        <f t="shared" si="1"/>
        <v>5.1261113914577638</v>
      </c>
      <c r="E18" s="5">
        <f t="shared" si="1"/>
        <v>5.5716622538152034</v>
      </c>
      <c r="F18" s="5">
        <f t="shared" si="1"/>
        <v>6.781774254248826</v>
      </c>
      <c r="G18" s="5">
        <f t="shared" si="1"/>
        <v>6.0981192421816575</v>
      </c>
      <c r="H18" s="5">
        <f t="shared" si="1"/>
        <v>7.0873605961966577</v>
      </c>
      <c r="I18" s="5">
        <f t="shared" si="1"/>
        <v>7.9114152437253455</v>
      </c>
      <c r="J18" s="5">
        <f t="shared" si="1"/>
        <v>9.1004948502555276</v>
      </c>
      <c r="K18" s="5"/>
      <c r="L18" s="5">
        <f>RSQ(B1:J1,B18:J18)</f>
        <v>0.74316019473165318</v>
      </c>
    </row>
  </sheetData>
  <conditionalFormatting sqref="L1:L1048576">
    <cfRule type="containsBlanks" dxfId="7" priority="1">
      <formula>LEN(TRIM(L1))=0</formula>
    </cfRule>
    <cfRule type="cellIs" dxfId="6" priority="2" operator="between">
      <formula>0</formula>
      <formula>0.1</formula>
    </cfRule>
    <cfRule type="cellIs" dxfId="5" priority="3" operator="greaterThan">
      <formula>0.2</formula>
    </cfRule>
    <cfRule type="cellIs" dxfId="4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zoomScaleNormal="100" workbookViewId="0">
      <selection activeCell="K20" sqref="K20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T_All_K1_N10_P40[[#This Row],[Identifier]]</f>
        <v>9c21d8b4a54d564164de037f0162aac5e8d61d4cf7a47f59e9ac0fcb1d830107</v>
      </c>
      <c r="B2">
        <f>(T_All_K1_N10_P40[[#This Row],[1]]-T_All_K1_N10_P40[[#This Row],[0]])/(ABS(T_All_K1_N10_P40[[#This Row],[0]]))</f>
        <v>0.2895727953500683</v>
      </c>
      <c r="C2">
        <f>(T_All_K1_N10_P40[[#This Row],[2]]-T_All_K1_N10_P40[[#This Row],[1]])/(ABS(T_All_K1_N10_P40[[#This Row],[1]]))</f>
        <v>-0.233440515502742</v>
      </c>
      <c r="D2">
        <f>(T_All_K1_N10_P40[[#This Row],[3]]-T_All_K1_N10_P40[[#This Row],[2]])/(ABS(T_All_K1_N10_P40[[#This Row],[2]]))</f>
        <v>-0.32695972494476994</v>
      </c>
      <c r="E2">
        <f>(T_All_K1_N10_P40[[#This Row],[4]]-T_All_K1_N10_P40[[#This Row],[3]])/(ABS(T_All_K1_N10_P40[[#This Row],[3]]))</f>
        <v>1.857504210852351</v>
      </c>
      <c r="F2">
        <f>(T_All_K1_N10_P40[[#This Row],[5]]-T_All_K1_N10_P40[[#This Row],[4]])/(ABS(T_All_K1_N10_P40[[#This Row],[4]]))</f>
        <v>7.023108734885225E-2</v>
      </c>
      <c r="G2">
        <f>(T_All_K1_N10_P40[[#This Row],[6]]-T_All_K1_N10_P40[[#This Row],[5]])/(ABS(T_All_K1_N10_P40[[#This Row],[5]]))</f>
        <v>0.1102971218460408</v>
      </c>
      <c r="H2">
        <f>(T_All_K1_N10_P40[[#This Row],[7]]-T_All_K1_N10_P40[[#This Row],[6]])/(ABS(T_All_K1_N10_P40[[#This Row],[6]]))</f>
        <v>0.29170695024713411</v>
      </c>
      <c r="I2">
        <f>(T_All_K1_N10_P40[[#This Row],[8]]-T_All_K1_N10_P40[[#This Row],[7]])/(ABS(T_All_K1_N10_P40[[#This Row],[7]]))</f>
        <v>-0.20659698912861738</v>
      </c>
      <c r="K2">
        <f>AVERAGE(B2:I2)</f>
        <v>0.23153936700853961</v>
      </c>
      <c r="L2">
        <f>(T_All_K1_N10_P40[[#This Row],[8]]-T_All_K1_N10_P40[[#This Row],[0]])/ABS(T_All_K1_N10_P40[[#This Row],[0]])</f>
        <v>1.3152307033374955</v>
      </c>
    </row>
    <row r="3" spans="1:12" x14ac:dyDescent="0.25">
      <c r="A3" t="str">
        <f>T_All_K1_N10_P40[[#This Row],[Identifier]]</f>
        <v>7175a67f4d58ad3d811c7a46d3a03300485bd1af04a169f8597acf98593feeff</v>
      </c>
      <c r="B3">
        <f>(T_All_K1_N10_P40[[#This Row],[1]]-T_All_K1_N10_P40[[#This Row],[0]])/(ABS(T_All_K1_N10_P40[[#This Row],[0]]))</f>
        <v>-0.3635485517066212</v>
      </c>
      <c r="C3">
        <f>(T_All_K1_N10_P40[[#This Row],[2]]-T_All_K1_N10_P40[[#This Row],[1]])/(ABS(T_All_K1_N10_P40[[#This Row],[1]]))</f>
        <v>1.0897383885017835</v>
      </c>
      <c r="D3">
        <f>(T_All_K1_N10_P40[[#This Row],[3]]-T_All_K1_N10_P40[[#This Row],[2]])/(ABS(T_All_K1_N10_P40[[#This Row],[2]]))</f>
        <v>0.68193255280506992</v>
      </c>
      <c r="E3">
        <f>(T_All_K1_N10_P40[[#This Row],[4]]-T_All_K1_N10_P40[[#This Row],[3]])/(ABS(T_All_K1_N10_P40[[#This Row],[3]]))</f>
        <v>0.24412064262643424</v>
      </c>
      <c r="F3">
        <f>(T_All_K1_N10_P40[[#This Row],[5]]-T_All_K1_N10_P40[[#This Row],[4]])/(ABS(T_All_K1_N10_P40[[#This Row],[4]]))</f>
        <v>-0.1513086124312005</v>
      </c>
      <c r="G3">
        <f>(T_All_K1_N10_P40[[#This Row],[6]]-T_All_K1_N10_P40[[#This Row],[5]])/(ABS(T_All_K1_N10_P40[[#This Row],[5]]))</f>
        <v>-0.12108332148169797</v>
      </c>
      <c r="H3">
        <f>(T_All_K1_N10_P40[[#This Row],[7]]-T_All_K1_N10_P40[[#This Row],[6]])/(ABS(T_All_K1_N10_P40[[#This Row],[6]]))</f>
        <v>0.25571601266813515</v>
      </c>
      <c r="I3">
        <f>(T_All_K1_N10_P40[[#This Row],[8]]-T_All_K1_N10_P40[[#This Row],[7]])/(ABS(T_All_K1_N10_P40[[#This Row],[7]]))</f>
        <v>0.26133979254765038</v>
      </c>
      <c r="K3">
        <f t="shared" ref="K3:M10" si="0">AVERAGE(B3:I3)</f>
        <v>0.2371133629411942</v>
      </c>
      <c r="L3">
        <f>(T_All_K1_N10_P40[[#This Row],[8]]-T_All_K1_N10_P40[[#This Row],[0]])/ABS(T_All_K1_N10_P40[[#This Row],[0]])</f>
        <v>2.2881324431915071</v>
      </c>
    </row>
    <row r="4" spans="1:12" x14ac:dyDescent="0.25">
      <c r="A4" t="str">
        <f>T_All_K1_N10_P40[[#This Row],[Identifier]]</f>
        <v>41ef355ede758b2099f75dc24a5bf6b77bf9f7041ed293712ca8486ef81afd0d</v>
      </c>
      <c r="B4">
        <f>(T_All_K1_N10_P40[[#This Row],[1]]-T_All_K1_N10_P40[[#This Row],[0]])/(ABS(T_All_K1_N10_P40[[#This Row],[0]]))</f>
        <v>-0.2960536346676152</v>
      </c>
      <c r="C4">
        <f>(T_All_K1_N10_P40[[#This Row],[2]]-T_All_K1_N10_P40[[#This Row],[1]])/(ABS(T_All_K1_N10_P40[[#This Row],[1]]))</f>
        <v>-0.25107308130743988</v>
      </c>
      <c r="D4">
        <f>(T_All_K1_N10_P40[[#This Row],[3]]-T_All_K1_N10_P40[[#This Row],[2]])/(ABS(T_All_K1_N10_P40[[#This Row],[2]]))</f>
        <v>1.6594873535273065</v>
      </c>
      <c r="E4">
        <f>(T_All_K1_N10_P40[[#This Row],[4]]-T_All_K1_N10_P40[[#This Row],[3]])/(ABS(T_All_K1_N10_P40[[#This Row],[3]]))</f>
        <v>-0.12482573767085348</v>
      </c>
      <c r="F4">
        <f>(T_All_K1_N10_P40[[#This Row],[5]]-T_All_K1_N10_P40[[#This Row],[4]])/(ABS(T_All_K1_N10_P40[[#This Row],[4]]))</f>
        <v>4.8276591011086181E-2</v>
      </c>
      <c r="G4">
        <f>(T_All_K1_N10_P40[[#This Row],[6]]-T_All_K1_N10_P40[[#This Row],[5]])/(ABS(T_All_K1_N10_P40[[#This Row],[5]]))</f>
        <v>2.244230850688593E-2</v>
      </c>
      <c r="H4">
        <f>(T_All_K1_N10_P40[[#This Row],[7]]-T_All_K1_N10_P40[[#This Row],[6]])/(ABS(T_All_K1_N10_P40[[#This Row],[6]]))</f>
        <v>8.0948276252955365E-2</v>
      </c>
      <c r="I4">
        <f>(T_All_K1_N10_P40[[#This Row],[8]]-T_All_K1_N10_P40[[#This Row],[7]])/(ABS(T_All_K1_N10_P40[[#This Row],[7]]))</f>
        <v>0.8548164444807399</v>
      </c>
      <c r="K4">
        <f t="shared" si="0"/>
        <v>0.2492523150166332</v>
      </c>
      <c r="L4">
        <f>(T_All_K1_N10_P40[[#This Row],[8]]-T_All_K1_N10_P40[[#This Row],[0]])/ABS(T_All_K1_N10_P40[[#This Row],[0]])</f>
        <v>1.6368900966345523</v>
      </c>
    </row>
    <row r="5" spans="1:12" x14ac:dyDescent="0.25">
      <c r="A5" t="str">
        <f>T_All_K1_N10_P40[[#This Row],[Identifier]]</f>
        <v>423f72babeea5a2f6d894e0a9c48348ac593d815311089de2b4db5df42d437e6</v>
      </c>
      <c r="B5">
        <f>(T_All_K1_N10_P40[[#This Row],[1]]-T_All_K1_N10_P40[[#This Row],[0]])/(ABS(T_All_K1_N10_P40[[#This Row],[0]]))</f>
        <v>0.29644341050399897</v>
      </c>
      <c r="C5">
        <f>(T_All_K1_N10_P40[[#This Row],[2]]-T_All_K1_N10_P40[[#This Row],[1]])/(ABS(T_All_K1_N10_P40[[#This Row],[1]]))</f>
        <v>0.1060790451920034</v>
      </c>
      <c r="D5">
        <f>(T_All_K1_N10_P40[[#This Row],[3]]-T_All_K1_N10_P40[[#This Row],[2]])/(ABS(T_All_K1_N10_P40[[#This Row],[2]]))</f>
        <v>-0.13964466299052969</v>
      </c>
      <c r="E5">
        <f>(T_All_K1_N10_P40[[#This Row],[4]]-T_All_K1_N10_P40[[#This Row],[3]])/(ABS(T_All_K1_N10_P40[[#This Row],[3]]))</f>
        <v>0.66069419443708233</v>
      </c>
      <c r="F5">
        <f>(T_All_K1_N10_P40[[#This Row],[5]]-T_All_K1_N10_P40[[#This Row],[4]])/(ABS(T_All_K1_N10_P40[[#This Row],[4]]))</f>
        <v>-0.37194308920194863</v>
      </c>
      <c r="G5">
        <f>(T_All_K1_N10_P40[[#This Row],[6]]-T_All_K1_N10_P40[[#This Row],[5]])/(ABS(T_All_K1_N10_P40[[#This Row],[5]]))</f>
        <v>3.6024650365359664E-2</v>
      </c>
      <c r="H5">
        <f>(T_All_K1_N10_P40[[#This Row],[7]]-T_All_K1_N10_P40[[#This Row],[6]])/(ABS(T_All_K1_N10_P40[[#This Row],[6]]))</f>
        <v>-8.4135884368054845E-2</v>
      </c>
      <c r="I5">
        <f>(T_All_K1_N10_P40[[#This Row],[8]]-T_All_K1_N10_P40[[#This Row],[7]])/(ABS(T_All_K1_N10_P40[[#This Row],[7]]))</f>
        <v>0.74288515391673826</v>
      </c>
      <c r="K5">
        <f t="shared" si="0"/>
        <v>0.15580035223183117</v>
      </c>
      <c r="L5">
        <f>(T_All_K1_N10_P40[[#This Row],[8]]-T_All_K1_N10_P40[[#This Row],[0]])/ABS(T_All_K1_N10_P40[[#This Row],[0]])</f>
        <v>1.1280222043335566</v>
      </c>
    </row>
    <row r="6" spans="1:12" x14ac:dyDescent="0.25">
      <c r="A6" t="str">
        <f>T_All_K1_N10_P40[[#This Row],[Identifier]]</f>
        <v>52d2156d0710ede59757a7808245bb7cfb66a0d1453e7658a561a09d62a6d5f6</v>
      </c>
      <c r="B6">
        <f>(T_All_K1_N10_P40[[#This Row],[1]]-T_All_K1_N10_P40[[#This Row],[0]])/(ABS(T_All_K1_N10_P40[[#This Row],[0]]))</f>
        <v>-0.69364422753337085</v>
      </c>
      <c r="C6">
        <f>(T_All_K1_N10_P40[[#This Row],[2]]-T_All_K1_N10_P40[[#This Row],[1]])/(ABS(T_All_K1_N10_P40[[#This Row],[1]]))</f>
        <v>0.80560665707431334</v>
      </c>
      <c r="D6">
        <f>(T_All_K1_N10_P40[[#This Row],[3]]-T_All_K1_N10_P40[[#This Row],[2]])/(ABS(T_All_K1_N10_P40[[#This Row],[2]]))</f>
        <v>-0.61012345320695793</v>
      </c>
      <c r="E6">
        <f>(T_All_K1_N10_P40[[#This Row],[4]]-T_All_K1_N10_P40[[#This Row],[3]])/(ABS(T_All_K1_N10_P40[[#This Row],[3]]))</f>
        <v>1.1939256719542157</v>
      </c>
      <c r="F6">
        <f>(T_All_K1_N10_P40[[#This Row],[5]]-T_All_K1_N10_P40[[#This Row],[4]])/(ABS(T_All_K1_N10_P40[[#This Row],[4]]))</f>
        <v>-0.59399165418145605</v>
      </c>
      <c r="G6">
        <f>(T_All_K1_N10_P40[[#This Row],[6]]-T_All_K1_N10_P40[[#This Row],[5]])/(ABS(T_All_K1_N10_P40[[#This Row],[5]]))</f>
        <v>0.34649029585752705</v>
      </c>
      <c r="H6">
        <f>(T_All_K1_N10_P40[[#This Row],[7]]-T_All_K1_N10_P40[[#This Row],[6]])/(ABS(T_All_K1_N10_P40[[#This Row],[6]]))</f>
        <v>0.47738281468142046</v>
      </c>
      <c r="I6">
        <f>(T_All_K1_N10_P40[[#This Row],[8]]-T_All_K1_N10_P40[[#This Row],[7]])/(ABS(T_All_K1_N10_P40[[#This Row],[7]]))</f>
        <v>0.25800098038846592</v>
      </c>
      <c r="K6">
        <f t="shared" si="0"/>
        <v>0.1479558856292697</v>
      </c>
      <c r="L6">
        <f>(T_All_K1_N10_P40[[#This Row],[8]]-T_All_K1_N10_P40[[#This Row],[0]])/ABS(T_All_K1_N10_P40[[#This Row],[0]])</f>
        <v>-0.51925979189168503</v>
      </c>
    </row>
    <row r="7" spans="1:12" x14ac:dyDescent="0.25">
      <c r="A7" t="str">
        <f>T_All_K1_N10_P40[[#This Row],[Identifier]]</f>
        <v>e9473dc0eb8d7c04e169ce22022e5d5d13f45562f9e3612b05628d0609c3b144</v>
      </c>
      <c r="B7">
        <f>(T_All_K1_N10_P40[[#This Row],[1]]-T_All_K1_N10_P40[[#This Row],[0]])/(ABS(T_All_K1_N10_P40[[#This Row],[0]]))</f>
        <v>-0.47455655741665559</v>
      </c>
      <c r="C7">
        <f>(T_All_K1_N10_P40[[#This Row],[2]]-T_All_K1_N10_P40[[#This Row],[1]])/(ABS(T_All_K1_N10_P40[[#This Row],[1]]))</f>
        <v>-1.4104990002373601E-2</v>
      </c>
      <c r="D7">
        <f>(T_All_K1_N10_P40[[#This Row],[3]]-T_All_K1_N10_P40[[#This Row],[2]])/(ABS(T_All_K1_N10_P40[[#This Row],[2]]))</f>
        <v>0.7239336854852122</v>
      </c>
      <c r="E7">
        <f>(T_All_K1_N10_P40[[#This Row],[4]]-T_All_K1_N10_P40[[#This Row],[3]])/(ABS(T_All_K1_N10_P40[[#This Row],[3]]))</f>
        <v>-4.6060396532609266E-2</v>
      </c>
      <c r="F7">
        <f>(T_All_K1_N10_P40[[#This Row],[5]]-T_All_K1_N10_P40[[#This Row],[4]])/(ABS(T_All_K1_N10_P40[[#This Row],[4]]))</f>
        <v>-0.50315788004399009</v>
      </c>
      <c r="G7">
        <f>(T_All_K1_N10_P40[[#This Row],[6]]-T_All_K1_N10_P40[[#This Row],[5]])/(ABS(T_All_K1_N10_P40[[#This Row],[5]]))</f>
        <v>0.98513465355638119</v>
      </c>
      <c r="H7">
        <f>(T_All_K1_N10_P40[[#This Row],[7]]-T_All_K1_N10_P40[[#This Row],[6]])/(ABS(T_All_K1_N10_P40[[#This Row],[6]]))</f>
        <v>0.14795367679677399</v>
      </c>
      <c r="I7">
        <f>(T_All_K1_N10_P40[[#This Row],[8]]-T_All_K1_N10_P40[[#This Row],[7]])/(ABS(T_All_K1_N10_P40[[#This Row],[7]]))</f>
        <v>-0.49501883404054786</v>
      </c>
      <c r="K7">
        <f t="shared" si="0"/>
        <v>4.0515419725273873E-2</v>
      </c>
      <c r="L7">
        <f>(T_All_K1_N10_P40[[#This Row],[8]]-T_All_K1_N10_P40[[#This Row],[0]])/ABS(T_All_K1_N10_P40[[#This Row],[0]])</f>
        <v>-0.5129136030380822</v>
      </c>
    </row>
    <row r="8" spans="1:12" x14ac:dyDescent="0.25">
      <c r="A8" t="str">
        <f>T_All_K1_N10_P40[[#This Row],[Identifier]]</f>
        <v>43e5b147fc92323ebb9a81a4d12b77a48162842e4f0ad740559c031f72a64db3</v>
      </c>
      <c r="B8">
        <f>(T_All_K1_N10_P40[[#This Row],[1]]-T_All_K1_N10_P40[[#This Row],[0]])/(ABS(T_All_K1_N10_P40[[#This Row],[0]]))</f>
        <v>-4.4718193167638198E-2</v>
      </c>
      <c r="C8">
        <f>(T_All_K1_N10_P40[[#This Row],[2]]-T_All_K1_N10_P40[[#This Row],[1]])/(ABS(T_All_K1_N10_P40[[#This Row],[1]]))</f>
        <v>-3.9714169993809688E-2</v>
      </c>
      <c r="D8">
        <f>(T_All_K1_N10_P40[[#This Row],[3]]-T_All_K1_N10_P40[[#This Row],[2]])/(ABS(T_All_K1_N10_P40[[#This Row],[2]]))</f>
        <v>0.13550158531260378</v>
      </c>
      <c r="E8">
        <f>(T_All_K1_N10_P40[[#This Row],[4]]-T_All_K1_N10_P40[[#This Row],[3]])/(ABS(T_All_K1_N10_P40[[#This Row],[3]]))</f>
        <v>0.33288726092275206</v>
      </c>
      <c r="F8">
        <f>(T_All_K1_N10_P40[[#This Row],[5]]-T_All_K1_N10_P40[[#This Row],[4]])/(ABS(T_All_K1_N10_P40[[#This Row],[4]]))</f>
        <v>0.35059422519143441</v>
      </c>
      <c r="G8">
        <f>(T_All_K1_N10_P40[[#This Row],[6]]-T_All_K1_N10_P40[[#This Row],[5]])/(ABS(T_All_K1_N10_P40[[#This Row],[5]]))</f>
        <v>0.50690166015036042</v>
      </c>
      <c r="H8">
        <f>(T_All_K1_N10_P40[[#This Row],[7]]-T_All_K1_N10_P40[[#This Row],[6]])/(ABS(T_All_K1_N10_P40[[#This Row],[6]]))</f>
        <v>-9.4527401437005609E-2</v>
      </c>
      <c r="I8">
        <f>(T_All_K1_N10_P40[[#This Row],[8]]-T_All_K1_N10_P40[[#This Row],[7]])/(ABS(T_All_K1_N10_P40[[#This Row],[7]]))</f>
        <v>0.12195356731812465</v>
      </c>
      <c r="K8">
        <f t="shared" si="0"/>
        <v>0.15860981678710273</v>
      </c>
      <c r="L8">
        <f>(T_All_K1_N10_P40[[#This Row],[8]]-T_All_K1_N10_P40[[#This Row],[0]])/ABS(T_All_K1_N10_P40[[#This Row],[0]])</f>
        <v>1.87060333518283</v>
      </c>
    </row>
    <row r="9" spans="1:12" x14ac:dyDescent="0.25">
      <c r="A9" t="str">
        <f>T_All_K1_N10_P40[[#This Row],[Identifier]]</f>
        <v>5a6b4379086b2f42a85772b215185a5195eb9908653ca26c67b25034e9d09b63</v>
      </c>
      <c r="B9">
        <f>(T_All_K1_N10_P40[[#This Row],[1]]-T_All_K1_N10_P40[[#This Row],[0]])/(ABS(T_All_K1_N10_P40[[#This Row],[0]]))</f>
        <v>-0.31179253066630991</v>
      </c>
      <c r="C9">
        <f>(T_All_K1_N10_P40[[#This Row],[2]]-T_All_K1_N10_P40[[#This Row],[1]])/(ABS(T_All_K1_N10_P40[[#This Row],[1]]))</f>
        <v>-0.22650597986921364</v>
      </c>
      <c r="D9">
        <f>(T_All_K1_N10_P40[[#This Row],[3]]-T_All_K1_N10_P40[[#This Row],[2]])/(ABS(T_All_K1_N10_P40[[#This Row],[2]]))</f>
        <v>0.70301240900406725</v>
      </c>
      <c r="E9">
        <f>(T_All_K1_N10_P40[[#This Row],[4]]-T_All_K1_N10_P40[[#This Row],[3]])/(ABS(T_All_K1_N10_P40[[#This Row],[3]]))</f>
        <v>2.9275894778784985E-3</v>
      </c>
      <c r="F9">
        <f>(T_All_K1_N10_P40[[#This Row],[5]]-T_All_K1_N10_P40[[#This Row],[4]])/(ABS(T_All_K1_N10_P40[[#This Row],[4]]))</f>
        <v>0.14563347656248246</v>
      </c>
      <c r="G9">
        <f>(T_All_K1_N10_P40[[#This Row],[6]]-T_All_K1_N10_P40[[#This Row],[5]])/(ABS(T_All_K1_N10_P40[[#This Row],[5]]))</f>
        <v>-0.13113662656782094</v>
      </c>
      <c r="H9">
        <f>(T_All_K1_N10_P40[[#This Row],[7]]-T_All_K1_N10_P40[[#This Row],[6]])/(ABS(T_All_K1_N10_P40[[#This Row],[6]]))</f>
        <v>-4.9079886577491509E-2</v>
      </c>
      <c r="I9">
        <f>(T_All_K1_N10_P40[[#This Row],[8]]-T_All_K1_N10_P40[[#This Row],[7]])/(ABS(T_All_K1_N10_P40[[#This Row],[7]]))</f>
        <v>4.1949014682558676E-2</v>
      </c>
      <c r="K9">
        <f t="shared" si="0"/>
        <v>2.1875933255768858E-2</v>
      </c>
      <c r="L9">
        <f>(T_All_K1_N10_P40[[#This Row],[8]]-T_All_K1_N10_P40[[#This Row],[0]])/ABS(T_All_K1_N10_P40[[#This Row],[0]])</f>
        <v>-0.10329122256878118</v>
      </c>
    </row>
    <row r="10" spans="1:12" x14ac:dyDescent="0.25">
      <c r="A10" t="str">
        <f>T_All_K1_N10_P40[[#This Row],[Identifier]]</f>
        <v>de6b1f4d6f73ae2199c831e95a2a2a6491b491af071fff7b08ef6bdf910c12cf</v>
      </c>
      <c r="B10">
        <f>(T_All_K1_N10_P40[[#This Row],[1]]-T_All_K1_N10_P40[[#This Row],[0]])/(ABS(T_All_K1_N10_P40[[#This Row],[0]]))</f>
        <v>-0.12995573905160135</v>
      </c>
      <c r="C10">
        <f>(T_All_K1_N10_P40[[#This Row],[2]]-T_All_K1_N10_P40[[#This Row],[1]])/(ABS(T_All_K1_N10_P40[[#This Row],[1]]))</f>
        <v>0.41577452921774494</v>
      </c>
      <c r="D10">
        <f>(T_All_K1_N10_P40[[#This Row],[3]]-T_All_K1_N10_P40[[#This Row],[2]])/(ABS(T_All_K1_N10_P40[[#This Row],[2]]))</f>
        <v>-0.57276122173891009</v>
      </c>
      <c r="E10">
        <f>(T_All_K1_N10_P40[[#This Row],[4]]-T_All_K1_N10_P40[[#This Row],[3]])/(ABS(T_All_K1_N10_P40[[#This Row],[3]]))</f>
        <v>-0.71645802066128872</v>
      </c>
      <c r="F10">
        <f>(T_All_K1_N10_P40[[#This Row],[5]]-T_All_K1_N10_P40[[#This Row],[4]])/(ABS(T_All_K1_N10_P40[[#This Row],[4]]))</f>
        <v>2.2898409133281317</v>
      </c>
      <c r="G10">
        <f>(T_All_K1_N10_P40[[#This Row],[6]]-T_All_K1_N10_P40[[#This Row],[5]])/(ABS(T_All_K1_N10_P40[[#This Row],[5]]))</f>
        <v>1.3917664815563124</v>
      </c>
      <c r="H10">
        <f>(T_All_K1_N10_P40[[#This Row],[7]]-T_All_K1_N10_P40[[#This Row],[6]])/(ABS(T_All_K1_N10_P40[[#This Row],[6]]))</f>
        <v>-0.12168558933934942</v>
      </c>
      <c r="I10">
        <f>(T_All_K1_N10_P40[[#This Row],[8]]-T_All_K1_N10_P40[[#This Row],[7]])/(ABS(T_All_K1_N10_P40[[#This Row],[7]]))</f>
        <v>-0.28714767213921571</v>
      </c>
      <c r="K10">
        <f t="shared" si="0"/>
        <v>0.28367171014647796</v>
      </c>
      <c r="L10">
        <f>(T_All_K1_N10_P40[[#This Row],[8]]-T_All_K1_N10_P40[[#This Row],[0]])/ABS(T_All_K1_N10_P40[[#This Row],[0]])</f>
        <v>-0.26486563360339288</v>
      </c>
    </row>
    <row r="11" spans="1:12" x14ac:dyDescent="0.25">
      <c r="A11" t="str">
        <f>T_All_K1_N10_P40[[#This Row],[Identifier]]</f>
        <v>c8b7ba4608254e07f4aadd9eb50105ff3828a831fe758b9e83e55057c175fb2b</v>
      </c>
      <c r="B11">
        <f>(T_All_K1_N10_P40[[#This Row],[1]]-T_All_K1_N10_P40[[#This Row],[0]])/(ABS(T_All_K1_N10_P40[[#This Row],[0]]))</f>
        <v>-9.6254012640015665E-2</v>
      </c>
      <c r="C11">
        <f>(T_All_K1_N10_P40[[#This Row],[2]]-T_All_K1_N10_P40[[#This Row],[1]])/(ABS(T_All_K1_N10_P40[[#This Row],[1]]))</f>
        <v>0.27190522135645179</v>
      </c>
      <c r="D11">
        <f>(T_All_K1_N10_P40[[#This Row],[3]]-T_All_K1_N10_P40[[#This Row],[2]])/(ABS(T_All_K1_N10_P40[[#This Row],[2]]))</f>
        <v>-0.15716705177448598</v>
      </c>
      <c r="E11">
        <f>(T_All_K1_N10_P40[[#This Row],[4]]-T_All_K1_N10_P40[[#This Row],[3]])/(ABS(T_All_K1_N10_P40[[#This Row],[3]]))</f>
        <v>-0.46633493074723653</v>
      </c>
      <c r="F11">
        <f>(T_All_K1_N10_P40[[#This Row],[5]]-T_All_K1_N10_P40[[#This Row],[4]])/(ABS(T_All_K1_N10_P40[[#This Row],[4]]))</f>
        <v>0.34179810069266464</v>
      </c>
      <c r="G11">
        <f>(T_All_K1_N10_P40[[#This Row],[6]]-T_All_K1_N10_P40[[#This Row],[5]])/(ABS(T_All_K1_N10_P40[[#This Row],[5]]))</f>
        <v>0.23416406718519647</v>
      </c>
      <c r="H11">
        <f>(T_All_K1_N10_P40[[#This Row],[7]]-T_All_K1_N10_P40[[#This Row],[6]])/(ABS(T_All_K1_N10_P40[[#This Row],[6]]))</f>
        <v>0.9552887981165552</v>
      </c>
      <c r="I11">
        <f>(T_All_K1_N10_P40[[#This Row],[8]]-T_All_K1_N10_P40[[#This Row],[7]])/(ABS(T_All_K1_N10_P40[[#This Row],[7]]))</f>
        <v>-0.11230672337305091</v>
      </c>
      <c r="K11">
        <f>AVERAGE(B11:I11)</f>
        <v>0.12138668360200987</v>
      </c>
      <c r="L11">
        <f>(T_All_K1_N10_P40[[#This Row],[8]]-T_All_K1_N10_P40[[#This Row],[0]])/ABS(T_All_K1_N10_P40[[#This Row],[0]])</f>
        <v>0.48609073823225002</v>
      </c>
    </row>
    <row r="14" spans="1:12" x14ac:dyDescent="0.25">
      <c r="J14" s="2" t="s">
        <v>25</v>
      </c>
      <c r="K14">
        <f>AVERAGE(K2:K11)</f>
        <v>0.16477208463441015</v>
      </c>
      <c r="L14">
        <f>AVERAGE(L2:L11)</f>
        <v>0.73246392698102514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-0.18245072409957605</v>
      </c>
      <c r="C18" s="5">
        <f t="shared" ref="C18:I18" si="1">AVERAGE(C2:C11)</f>
        <v>0.19242651046667181</v>
      </c>
      <c r="D18" s="5">
        <f t="shared" si="1"/>
        <v>0.20972114714786061</v>
      </c>
      <c r="E18" s="5">
        <f t="shared" si="1"/>
        <v>0.29383804846587258</v>
      </c>
      <c r="F18" s="5">
        <f t="shared" si="1"/>
        <v>0.16259731582760564</v>
      </c>
      <c r="G18" s="5">
        <f t="shared" si="1"/>
        <v>0.33810012909745446</v>
      </c>
      <c r="H18" s="5">
        <f t="shared" si="1"/>
        <v>0.18595677670410729</v>
      </c>
      <c r="I18" s="5">
        <f t="shared" si="1"/>
        <v>0.11798747346528463</v>
      </c>
      <c r="J18" s="5"/>
      <c r="K18" s="5">
        <f>AVERAGE(B18:I18)</f>
        <v>0.16477208463441012</v>
      </c>
      <c r="L18" s="5">
        <f>(I18-B18)/(ABS(B18))</f>
        <v>1.6466813110639706</v>
      </c>
    </row>
  </sheetData>
  <conditionalFormatting sqref="A18:XFD1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K15 K16:L19 K26 K27:L1048576 K1:L14 K21:L25 L20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P40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2026-02-15T22:52:00Z</dcterms:modified>
</cp:coreProperties>
</file>