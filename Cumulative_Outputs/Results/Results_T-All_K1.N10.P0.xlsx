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Boolean_Network_SISOR_Degeneracy_Simulator\Boolean_Network_SISOR_Degeneracy_Simulator\Cumulative_Outputs\Results\"/>
    </mc:Choice>
  </mc:AlternateContent>
  <xr:revisionPtr revIDLastSave="0" documentId="13_ncr:1_{46A1408F-8D24-4DAE-B1BE-C082AB9C6937}" xr6:coauthVersionLast="47" xr6:coauthVersionMax="47" xr10:uidLastSave="{00000000-0000-0000-0000-000000000000}"/>
  <bookViews>
    <workbookView xWindow="-120" yWindow="-120" windowWidth="38640" windowHeight="21240" activeTab="1" xr2:uid="{8979E4B9-F6D3-4FFF-BFAD-32F04701C466}"/>
  </bookViews>
  <sheets>
    <sheet name="T-All_K1 N10 P0" sheetId="7" r:id="rId1"/>
    <sheet name="R Squared" sheetId="5" r:id="rId2"/>
    <sheet name="Relative Change" sheetId="3" r:id="rId3"/>
  </sheets>
  <definedNames>
    <definedName name="ExternalData_1" localSheetId="0" hidden="1">'T-All_K1 N10 P0'!$A$1:$J$9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3" l="1"/>
  <c r="C10" i="3"/>
  <c r="D10" i="3"/>
  <c r="E10" i="3"/>
  <c r="F10" i="3"/>
  <c r="G10" i="3"/>
  <c r="H10" i="3"/>
  <c r="I10" i="3"/>
  <c r="C11" i="3"/>
  <c r="D11" i="3"/>
  <c r="E11" i="3"/>
  <c r="F11" i="3"/>
  <c r="G11" i="3"/>
  <c r="H11" i="3"/>
  <c r="I11" i="3"/>
  <c r="B11" i="3"/>
  <c r="K11" i="3" s="1"/>
  <c r="A11" i="3"/>
  <c r="C10" i="5"/>
  <c r="D10" i="5"/>
  <c r="E10" i="5"/>
  <c r="F10" i="5"/>
  <c r="G10" i="5"/>
  <c r="H10" i="5"/>
  <c r="I10" i="5"/>
  <c r="J10" i="5"/>
  <c r="C11" i="5"/>
  <c r="D11" i="5"/>
  <c r="E11" i="5"/>
  <c r="F11" i="5"/>
  <c r="G11" i="5"/>
  <c r="H11" i="5"/>
  <c r="I11" i="5"/>
  <c r="J11" i="5"/>
  <c r="B11" i="5"/>
  <c r="L11" i="5" s="1"/>
  <c r="A11" i="5"/>
  <c r="L10" i="3"/>
  <c r="L3" i="3"/>
  <c r="L4" i="3"/>
  <c r="L5" i="3"/>
  <c r="L6" i="3"/>
  <c r="L7" i="3"/>
  <c r="L8" i="3"/>
  <c r="L9" i="3"/>
  <c r="B2" i="3"/>
  <c r="L2" i="3"/>
  <c r="C2" i="3"/>
  <c r="D2" i="3"/>
  <c r="E2" i="3"/>
  <c r="F2" i="3"/>
  <c r="G2" i="3"/>
  <c r="H2" i="3"/>
  <c r="I2" i="3"/>
  <c r="C3" i="3"/>
  <c r="D3" i="3"/>
  <c r="E3" i="3"/>
  <c r="F3" i="3"/>
  <c r="G3" i="3"/>
  <c r="H3" i="3"/>
  <c r="I3" i="3"/>
  <c r="C4" i="3"/>
  <c r="D4" i="3"/>
  <c r="E4" i="3"/>
  <c r="F4" i="3"/>
  <c r="G4" i="3"/>
  <c r="H4" i="3"/>
  <c r="I4" i="3"/>
  <c r="C5" i="3"/>
  <c r="D5" i="3"/>
  <c r="E5" i="3"/>
  <c r="F5" i="3"/>
  <c r="G5" i="3"/>
  <c r="H5" i="3"/>
  <c r="I5" i="3"/>
  <c r="C6" i="3"/>
  <c r="D6" i="3"/>
  <c r="E6" i="3"/>
  <c r="F6" i="3"/>
  <c r="G6" i="3"/>
  <c r="H6" i="3"/>
  <c r="I6" i="3"/>
  <c r="C7" i="3"/>
  <c r="D7" i="3"/>
  <c r="E7" i="3"/>
  <c r="F7" i="3"/>
  <c r="G7" i="3"/>
  <c r="H7" i="3"/>
  <c r="I7" i="3"/>
  <c r="C8" i="3"/>
  <c r="D8" i="3"/>
  <c r="E8" i="3"/>
  <c r="F8" i="3"/>
  <c r="G8" i="3"/>
  <c r="H8" i="3"/>
  <c r="I8" i="3"/>
  <c r="C9" i="3"/>
  <c r="D9" i="3"/>
  <c r="E9" i="3"/>
  <c r="F9" i="3"/>
  <c r="G9" i="3"/>
  <c r="H9" i="3"/>
  <c r="I9" i="3"/>
  <c r="B3" i="3"/>
  <c r="B4" i="3"/>
  <c r="B5" i="3"/>
  <c r="B6" i="3"/>
  <c r="B7" i="3"/>
  <c r="B8" i="3"/>
  <c r="B9" i="3"/>
  <c r="B10" i="3"/>
  <c r="K10" i="3" s="1"/>
  <c r="A3" i="3"/>
  <c r="A4" i="3"/>
  <c r="A5" i="3"/>
  <c r="A6" i="3"/>
  <c r="A7" i="3"/>
  <c r="A8" i="3"/>
  <c r="A9" i="3"/>
  <c r="A10" i="3"/>
  <c r="A2" i="3"/>
  <c r="B2" i="5"/>
  <c r="C2" i="5"/>
  <c r="D2" i="5"/>
  <c r="E2" i="5"/>
  <c r="F2" i="5"/>
  <c r="G2" i="5"/>
  <c r="H2" i="5"/>
  <c r="I2" i="5"/>
  <c r="J2" i="5"/>
  <c r="B3" i="5"/>
  <c r="C3" i="5"/>
  <c r="D3" i="5"/>
  <c r="E3" i="5"/>
  <c r="F3" i="5"/>
  <c r="G3" i="5"/>
  <c r="H3" i="5"/>
  <c r="I3" i="5"/>
  <c r="J3" i="5"/>
  <c r="B4" i="5"/>
  <c r="L4" i="5" s="1"/>
  <c r="C4" i="5"/>
  <c r="D4" i="5"/>
  <c r="E4" i="5"/>
  <c r="F4" i="5"/>
  <c r="G4" i="5"/>
  <c r="H4" i="5"/>
  <c r="I4" i="5"/>
  <c r="J4" i="5"/>
  <c r="B5" i="5"/>
  <c r="C5" i="5"/>
  <c r="D5" i="5"/>
  <c r="E5" i="5"/>
  <c r="F5" i="5"/>
  <c r="G5" i="5"/>
  <c r="H5" i="5"/>
  <c r="I5" i="5"/>
  <c r="J5" i="5"/>
  <c r="B6" i="5"/>
  <c r="C6" i="5"/>
  <c r="D6" i="5"/>
  <c r="E6" i="5"/>
  <c r="F6" i="5"/>
  <c r="G6" i="5"/>
  <c r="H6" i="5"/>
  <c r="I6" i="5"/>
  <c r="J6" i="5"/>
  <c r="B7" i="5"/>
  <c r="C7" i="5"/>
  <c r="D7" i="5"/>
  <c r="E7" i="5"/>
  <c r="F7" i="5"/>
  <c r="G7" i="5"/>
  <c r="H7" i="5"/>
  <c r="I7" i="5"/>
  <c r="J7" i="5"/>
  <c r="B8" i="5"/>
  <c r="C8" i="5"/>
  <c r="D8" i="5"/>
  <c r="E8" i="5"/>
  <c r="F8" i="5"/>
  <c r="G8" i="5"/>
  <c r="H8" i="5"/>
  <c r="I8" i="5"/>
  <c r="J8" i="5"/>
  <c r="B9" i="5"/>
  <c r="C9" i="5"/>
  <c r="D9" i="5"/>
  <c r="E9" i="5"/>
  <c r="F9" i="5"/>
  <c r="G9" i="5"/>
  <c r="H9" i="5"/>
  <c r="I9" i="5"/>
  <c r="J9" i="5"/>
  <c r="B10" i="5"/>
  <c r="L10" i="5" s="1"/>
  <c r="A3" i="5"/>
  <c r="A4" i="5"/>
  <c r="A5" i="5"/>
  <c r="A6" i="5"/>
  <c r="A7" i="5"/>
  <c r="A8" i="5"/>
  <c r="A9" i="5"/>
  <c r="A10" i="5"/>
  <c r="A2" i="5"/>
  <c r="F18" i="5" l="1"/>
  <c r="K8" i="3"/>
  <c r="L8" i="5"/>
  <c r="D18" i="5"/>
  <c r="K6" i="3"/>
  <c r="H18" i="3"/>
  <c r="K7" i="3"/>
  <c r="L5" i="5"/>
  <c r="C18" i="5"/>
  <c r="K5" i="3"/>
  <c r="L6" i="5"/>
  <c r="B18" i="5"/>
  <c r="G18" i="5"/>
  <c r="I18" i="5"/>
  <c r="H18" i="5"/>
  <c r="J18" i="5"/>
  <c r="K4" i="3"/>
  <c r="L7" i="5"/>
  <c r="K3" i="3"/>
  <c r="K14" i="3" s="1"/>
  <c r="L9" i="5"/>
  <c r="K9" i="3"/>
  <c r="I18" i="3"/>
  <c r="B18" i="3"/>
  <c r="L18" i="3" s="1"/>
  <c r="L3" i="5"/>
  <c r="E18" i="5"/>
  <c r="G18" i="3"/>
  <c r="L2" i="5"/>
  <c r="K2" i="3"/>
  <c r="E18" i="3"/>
  <c r="C18" i="3"/>
  <c r="F18" i="3"/>
  <c r="L14" i="3"/>
  <c r="D18" i="3"/>
  <c r="L18" i="5" l="1"/>
  <c r="K18" i="3"/>
  <c r="L1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749BFA8-68FA-400C-B8F5-B60999914524}" keepAlive="1" name="Query - T-All_K1 N10 P0" description="Connection to the 'T-All_K1 N10 P0' query in the workbook." type="5" refreshedVersion="8" background="1" saveData="1">
    <dbPr connection="Provider=Microsoft.Mashup.OleDb.1;Data Source=$Workbook$;Location=&quot;T-All_K1 N10 P0&quot;;Extended Properties=&quot;&quot;" command="SELECT * FROM [T-All_K1 N10 P0]"/>
  </connection>
</connections>
</file>

<file path=xl/sharedStrings.xml><?xml version="1.0" encoding="utf-8"?>
<sst xmlns="http://schemas.openxmlformats.org/spreadsheetml/2006/main" count="46" uniqueCount="33">
  <si>
    <t>Identifier</t>
  </si>
  <si>
    <t>0</t>
  </si>
  <si>
    <t>1</t>
  </si>
  <si>
    <t>2</t>
  </si>
  <si>
    <t>3</t>
  </si>
  <si>
    <t>4</t>
  </si>
  <si>
    <t>5</t>
  </si>
  <si>
    <t>6</t>
  </si>
  <si>
    <t>7</t>
  </si>
  <si>
    <t>8</t>
  </si>
  <si>
    <t>R Squared</t>
  </si>
  <si>
    <t>ID</t>
  </si>
  <si>
    <t>0-1</t>
  </si>
  <si>
    <t>1-2</t>
  </si>
  <si>
    <t>2-3</t>
  </si>
  <si>
    <t>3-4</t>
  </si>
  <si>
    <t>4-5</t>
  </si>
  <si>
    <t>5-6</t>
  </si>
  <si>
    <t>6-7</t>
  </si>
  <si>
    <t>7-8</t>
  </si>
  <si>
    <t>Average</t>
  </si>
  <si>
    <t>Max-Min</t>
  </si>
  <si>
    <t>428da1312b4e9e175c8da20472e82f346f19060102702e896cd2ed510d1f82d3</t>
  </si>
  <si>
    <t>b96c0907522c2773f70c3772a20a66ed27faa11b69222bb914593d8c048e550f</t>
  </si>
  <si>
    <t>91c19dd683a61988ab47f9523ac0c69189fc5bf0bc129535df465e67ceaa3f5c</t>
  </si>
  <si>
    <t>a77913344f83d12ba672562908a45473f0d39decfb73132ce324137df5880dca</t>
  </si>
  <si>
    <t>31dc9a7ab1e4d4612bdaf0e2738743d8249dd2a8c694e94911c68de321218e14</t>
  </si>
  <si>
    <t>cc16d76232e5a5ec88990779fb25161754f2fcae1be1817d9b06db6ed01a0252</t>
  </si>
  <si>
    <t>6495f98496f9faa9acbcdcf4e6d7f54f0fc9d6989ccd6cbe8d514c709be1ae47</t>
  </si>
  <si>
    <t>a0a4a0a999bb3c4c42ab65d8be5cc30bd395809ee6deffe8ff8849786856012c</t>
  </si>
  <si>
    <t>RSQ of Ave</t>
  </si>
  <si>
    <t>Ave RSQ</t>
  </si>
  <si>
    <t>T Averages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</si>
</sst>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2" fillId="0" borderId="0" xfId="0" quotePrefix="1" applyFont="1"/>
  </cellXfs>
  <cellStyles count="1">
    <cellStyle name="Normal" xfId="0" builtinId="0"/>
  </cellStyles>
  <dxfs count="18">
    <dxf>
      <fill>
        <patternFill>
          <bgColor rgb="FFFFFFCC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CC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theme="9" tint="0.79998168889431442"/>
      </font>
    </dxf>
    <dxf>
      <numFmt numFmtId="0" formatCode="General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2B7EA0F-08C1-4502-B587-3E6974EA0389}" autoFormatId="16" applyNumberFormats="0" applyBorderFormats="0" applyFontFormats="0" applyPatternFormats="0" applyAlignmentFormats="0" applyWidthHeightFormats="0">
  <queryTableRefresh nextId="15">
    <queryTableFields count="10">
      <queryTableField id="1" name="Identifier" tableColumnId="1"/>
      <queryTableField id="2" name="0" tableColumnId="2"/>
      <queryTableField id="3" name="1" tableColumnId="3"/>
      <queryTableField id="4" name="2" tableColumnId="4"/>
      <queryTableField id="5" name="3" tableColumnId="5"/>
      <queryTableField id="6" name="4" tableColumnId="6"/>
      <queryTableField id="7" name="5" tableColumnId="7"/>
      <queryTableField id="8" name="6" tableColumnId="8"/>
      <queryTableField id="9" name="7" tableColumnId="9"/>
      <queryTableField id="10" name="8" tableColumnId="10"/>
    </queryTableFields>
    <queryTableDeletedFields count="2">
      <deletedField name="Column11"/>
      <deletedField name="Column12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61A039-F66E-4FFC-BCE1-4D82A05BCEF1}" name="T_All_K1_N10_P0" displayName="T_All_K1_N10_P0" ref="A1:J9" tableType="queryTable" totalsRowShown="0">
  <autoFilter ref="A1:J9" xr:uid="{6861A039-F66E-4FFC-BCE1-4D82A05BCEF1}"/>
  <tableColumns count="10">
    <tableColumn id="1" xr3:uid="{046157B0-B3A8-4AE4-9834-9EBEAA17AACA}" uniqueName="1" name="Identifier" queryTableFieldId="1" dataDxfId="17"/>
    <tableColumn id="2" xr3:uid="{49BF3B34-7D50-4C3D-8E79-CCA442B3343F}" uniqueName="2" name="0" queryTableFieldId="2"/>
    <tableColumn id="3" xr3:uid="{A1F2663E-7CCF-4F0D-B3F5-220F4E762D2C}" uniqueName="3" name="1" queryTableFieldId="3"/>
    <tableColumn id="4" xr3:uid="{04A70345-44BA-4366-A0E3-2996D838741F}" uniqueName="4" name="2" queryTableFieldId="4"/>
    <tableColumn id="5" xr3:uid="{DA9E2597-B6AE-44FD-8968-28F11CA0ECC7}" uniqueName="5" name="3" queryTableFieldId="5"/>
    <tableColumn id="6" xr3:uid="{A7D3B02C-282E-4629-BABE-6738B57F53C8}" uniqueName="6" name="4" queryTableFieldId="6"/>
    <tableColumn id="7" xr3:uid="{63AF18EE-D17D-44A9-B64F-1A1FDCA26ADD}" uniqueName="7" name="5" queryTableFieldId="7"/>
    <tableColumn id="8" xr3:uid="{E17547A3-7F49-4998-9B1E-B5EDFD31FFC8}" uniqueName="8" name="6" queryTableFieldId="8"/>
    <tableColumn id="9" xr3:uid="{25EBA8A6-D32D-4F5D-8BB7-BF38ACBDCD48}" uniqueName="9" name="7" queryTableFieldId="9"/>
    <tableColumn id="10" xr3:uid="{1CDA6633-1F5E-4729-8E46-589229D27F9F}" uniqueName="10" name="8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7AC70-6724-4F24-8A6C-26B486A04788}">
  <dimension ref="A1:J9"/>
  <sheetViews>
    <sheetView workbookViewId="0">
      <selection activeCell="C19" sqref="C19"/>
    </sheetView>
  </sheetViews>
  <sheetFormatPr defaultRowHeight="15" x14ac:dyDescent="0.25"/>
  <cols>
    <col min="1" max="1" width="68.42578125" bestFit="1" customWidth="1"/>
    <col min="2" max="12" width="12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22</v>
      </c>
      <c r="B2">
        <v>5.670754087377297</v>
      </c>
      <c r="C2">
        <v>2.6827083364675777</v>
      </c>
      <c r="D2">
        <v>9.510116089603958</v>
      </c>
      <c r="E2">
        <v>4.1070766473704028</v>
      </c>
      <c r="F2">
        <v>5.6419096879129533</v>
      </c>
      <c r="G2">
        <v>4.972741045450868</v>
      </c>
      <c r="H2">
        <v>5.3640856160162969</v>
      </c>
      <c r="I2">
        <v>8.9479245934589589</v>
      </c>
      <c r="J2">
        <v>7.0236156049065315</v>
      </c>
    </row>
    <row r="3" spans="1:10" x14ac:dyDescent="0.25">
      <c r="A3" t="s">
        <v>23</v>
      </c>
      <c r="B3">
        <v>7.8374335411820786</v>
      </c>
      <c r="C3">
        <v>5.1008399801974091</v>
      </c>
      <c r="D3">
        <v>9.1046567377120784</v>
      </c>
      <c r="E3">
        <v>4.3203476722717502</v>
      </c>
      <c r="F3">
        <v>10.848992337070678</v>
      </c>
      <c r="G3">
        <v>7.9346082503780746</v>
      </c>
      <c r="H3">
        <v>5.4931446570104034</v>
      </c>
      <c r="I3">
        <v>9.8119268910592545</v>
      </c>
      <c r="J3">
        <v>5.5981143815324943</v>
      </c>
    </row>
    <row r="4" spans="1:10" x14ac:dyDescent="0.25">
      <c r="A4" t="s">
        <v>24</v>
      </c>
      <c r="B4">
        <v>6.418538249196124</v>
      </c>
      <c r="C4">
        <v>8.1532211910121291</v>
      </c>
      <c r="D4">
        <v>7.9959562731561746</v>
      </c>
      <c r="E4">
        <v>10.156819430728053</v>
      </c>
      <c r="F4">
        <v>6.7149246307672863</v>
      </c>
      <c r="G4">
        <v>6.3503784922364801</v>
      </c>
      <c r="H4">
        <v>10.048270795587502</v>
      </c>
      <c r="I4">
        <v>7.9475027469561361</v>
      </c>
      <c r="J4">
        <v>6.9061622134799325</v>
      </c>
    </row>
    <row r="5" spans="1:10" x14ac:dyDescent="0.25">
      <c r="A5" t="s">
        <v>25</v>
      </c>
      <c r="B5">
        <v>3.6806850675421994</v>
      </c>
      <c r="C5">
        <v>3.4622552365720152</v>
      </c>
      <c r="D5">
        <v>7.1898995809386035</v>
      </c>
      <c r="E5">
        <v>4.831699494929353</v>
      </c>
      <c r="F5">
        <v>3.4472675040800835</v>
      </c>
      <c r="G5">
        <v>3.5914727803758408</v>
      </c>
      <c r="H5">
        <v>7.3375265575073261</v>
      </c>
      <c r="I5">
        <v>3.6664365206031824</v>
      </c>
      <c r="J5">
        <v>1.5938414754473371</v>
      </c>
    </row>
    <row r="6" spans="1:10" x14ac:dyDescent="0.25">
      <c r="A6" t="s">
        <v>26</v>
      </c>
      <c r="B6">
        <v>3.515163676673323</v>
      </c>
      <c r="C6">
        <v>4.4862471372409622</v>
      </c>
      <c r="D6">
        <v>1.4861697482960725</v>
      </c>
      <c r="E6">
        <v>1.3635101685533184</v>
      </c>
      <c r="F6">
        <v>3.53526090075635</v>
      </c>
      <c r="G6">
        <v>3.5224217279771795</v>
      </c>
      <c r="H6">
        <v>2.8510209949770431</v>
      </c>
      <c r="I6">
        <v>2.2985379826715726</v>
      </c>
      <c r="J6">
        <v>4.3910211373839143</v>
      </c>
    </row>
    <row r="7" spans="1:10" x14ac:dyDescent="0.25">
      <c r="A7" t="s">
        <v>27</v>
      </c>
      <c r="B7">
        <v>4.9728168283518883</v>
      </c>
      <c r="C7">
        <v>3.8049531213722649</v>
      </c>
      <c r="D7">
        <v>7.6249440735833272</v>
      </c>
      <c r="E7">
        <v>7.7130149904955454</v>
      </c>
      <c r="F7">
        <v>6.2291926385145793</v>
      </c>
      <c r="G7">
        <v>4.9568516220051126</v>
      </c>
      <c r="H7">
        <v>7.0137946174370462</v>
      </c>
      <c r="I7">
        <v>9.9947308013038754</v>
      </c>
      <c r="J7">
        <v>3.6880668694790724</v>
      </c>
    </row>
    <row r="8" spans="1:10" x14ac:dyDescent="0.25">
      <c r="A8" t="s">
        <v>28</v>
      </c>
      <c r="B8">
        <v>7.4614273599204379</v>
      </c>
      <c r="C8">
        <v>10.923783731130486</v>
      </c>
      <c r="D8">
        <v>7.1545811053963577</v>
      </c>
      <c r="E8">
        <v>9.0450020106953435</v>
      </c>
      <c r="F8">
        <v>4.1600030742065446</v>
      </c>
      <c r="G8">
        <v>8.00671243795537</v>
      </c>
      <c r="H8">
        <v>4.6851751718397079</v>
      </c>
      <c r="I8">
        <v>7.2636942822604587</v>
      </c>
      <c r="J8">
        <v>4.8217605502557372</v>
      </c>
    </row>
    <row r="9" spans="1:10" x14ac:dyDescent="0.25">
      <c r="A9" t="s">
        <v>29</v>
      </c>
      <c r="B9">
        <v>13.601154606278058</v>
      </c>
      <c r="C9">
        <v>12.485279961268851</v>
      </c>
      <c r="D9">
        <v>8.0971607760376827</v>
      </c>
      <c r="E9">
        <v>9.1003596670144482</v>
      </c>
      <c r="F9">
        <v>9.6579611951565649</v>
      </c>
      <c r="G9">
        <v>7.5895090197278314</v>
      </c>
      <c r="H9">
        <v>7.7401406176644567</v>
      </c>
      <c r="I9">
        <v>8.0109913457427666</v>
      </c>
      <c r="J9">
        <v>9.7207106093365319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6ADCC-00BB-4058-A1B8-16AB3F675525}">
  <dimension ref="A1:L18"/>
  <sheetViews>
    <sheetView tabSelected="1" workbookViewId="0">
      <selection activeCell="I35" sqref="I35"/>
    </sheetView>
  </sheetViews>
  <sheetFormatPr defaultRowHeight="15" x14ac:dyDescent="0.25"/>
  <cols>
    <col min="1" max="1" width="20.42578125" customWidth="1"/>
  </cols>
  <sheetData>
    <row r="1" spans="1:12" x14ac:dyDescent="0.25">
      <c r="A1" t="s">
        <v>0</v>
      </c>
      <c r="B1" s="2">
        <v>0</v>
      </c>
      <c r="C1" s="2">
        <v>1</v>
      </c>
      <c r="D1" s="2">
        <v>2</v>
      </c>
      <c r="E1" s="2">
        <v>3</v>
      </c>
      <c r="F1" s="2">
        <v>4</v>
      </c>
      <c r="G1" s="2">
        <v>5</v>
      </c>
      <c r="H1" s="2">
        <v>6</v>
      </c>
      <c r="I1" s="2">
        <v>7</v>
      </c>
      <c r="J1" s="2">
        <v>8</v>
      </c>
      <c r="L1" s="3" t="s">
        <v>10</v>
      </c>
    </row>
    <row r="2" spans="1:12" x14ac:dyDescent="0.25">
      <c r="A2" t="str">
        <f>T_All_K1_N10_P0[[#This Row],[Identifier]]</f>
        <v>428da1312b4e9e175c8da20472e82f346f19060102702e896cd2ed510d1f82d3</v>
      </c>
      <c r="B2">
        <f>T_All_K1_N10_P0[[#This Row],[0]]</f>
        <v>5.670754087377297</v>
      </c>
      <c r="C2">
        <f>T_All_K1_N10_P0[[#This Row],[1]]</f>
        <v>2.6827083364675777</v>
      </c>
      <c r="D2">
        <f>T_All_K1_N10_P0[[#This Row],[2]]</f>
        <v>9.510116089603958</v>
      </c>
      <c r="E2">
        <f>T_All_K1_N10_P0[[#This Row],[3]]</f>
        <v>4.1070766473704028</v>
      </c>
      <c r="F2">
        <f>T_All_K1_N10_P0[[#This Row],[4]]</f>
        <v>5.6419096879129533</v>
      </c>
      <c r="G2">
        <f>T_All_K1_N10_P0[[#This Row],[5]]</f>
        <v>4.972741045450868</v>
      </c>
      <c r="H2">
        <f>T_All_K1_N10_P0[[#This Row],[6]]</f>
        <v>5.3640856160162969</v>
      </c>
      <c r="I2">
        <f>T_All_K1_N10_P0[[#This Row],[7]]</f>
        <v>8.9479245934589589</v>
      </c>
      <c r="J2">
        <f>T_All_K1_N10_P0[[#This Row],[8]]</f>
        <v>7.0236156049065315</v>
      </c>
      <c r="L2" s="1">
        <f t="shared" ref="L2:L11" si="0">RSQ(B2:J2,$B$1:$J$1)</f>
        <v>0.12240314050100504</v>
      </c>
    </row>
    <row r="3" spans="1:12" x14ac:dyDescent="0.25">
      <c r="A3" t="str">
        <f>T_All_K1_N10_P0[[#This Row],[Identifier]]</f>
        <v>b96c0907522c2773f70c3772a20a66ed27faa11b69222bb914593d8c048e550f</v>
      </c>
      <c r="B3">
        <f>T_All_K1_N10_P0[[#This Row],[0]]</f>
        <v>7.8374335411820786</v>
      </c>
      <c r="C3">
        <f>T_All_K1_N10_P0[[#This Row],[1]]</f>
        <v>5.1008399801974091</v>
      </c>
      <c r="D3">
        <f>T_All_K1_N10_P0[[#This Row],[2]]</f>
        <v>9.1046567377120784</v>
      </c>
      <c r="E3">
        <f>T_All_K1_N10_P0[[#This Row],[3]]</f>
        <v>4.3203476722717502</v>
      </c>
      <c r="F3">
        <f>T_All_K1_N10_P0[[#This Row],[4]]</f>
        <v>10.848992337070678</v>
      </c>
      <c r="G3">
        <f>T_All_K1_N10_P0[[#This Row],[5]]</f>
        <v>7.9346082503780746</v>
      </c>
      <c r="H3">
        <f>T_All_K1_N10_P0[[#This Row],[6]]</f>
        <v>5.4931446570104034</v>
      </c>
      <c r="I3">
        <f>T_All_K1_N10_P0[[#This Row],[7]]</f>
        <v>9.8119268910592545</v>
      </c>
      <c r="J3">
        <f>T_All_K1_N10_P0[[#This Row],[8]]</f>
        <v>5.5981143815324943</v>
      </c>
      <c r="L3" s="1">
        <f t="shared" si="0"/>
        <v>9.5834560334353506E-4</v>
      </c>
    </row>
    <row r="4" spans="1:12" x14ac:dyDescent="0.25">
      <c r="A4" t="str">
        <f>T_All_K1_N10_P0[[#This Row],[Identifier]]</f>
        <v>91c19dd683a61988ab47f9523ac0c69189fc5bf0bc129535df465e67ceaa3f5c</v>
      </c>
      <c r="B4">
        <f>T_All_K1_N10_P0[[#This Row],[0]]</f>
        <v>6.418538249196124</v>
      </c>
      <c r="C4">
        <f>T_All_K1_N10_P0[[#This Row],[1]]</f>
        <v>8.1532211910121291</v>
      </c>
      <c r="D4">
        <f>T_All_K1_N10_P0[[#This Row],[2]]</f>
        <v>7.9959562731561746</v>
      </c>
      <c r="E4">
        <f>T_All_K1_N10_P0[[#This Row],[3]]</f>
        <v>10.156819430728053</v>
      </c>
      <c r="F4">
        <f>T_All_K1_N10_P0[[#This Row],[4]]</f>
        <v>6.7149246307672863</v>
      </c>
      <c r="G4">
        <f>T_All_K1_N10_P0[[#This Row],[5]]</f>
        <v>6.3503784922364801</v>
      </c>
      <c r="H4">
        <f>T_All_K1_N10_P0[[#This Row],[6]]</f>
        <v>10.048270795587502</v>
      </c>
      <c r="I4">
        <f>T_All_K1_N10_P0[[#This Row],[7]]</f>
        <v>7.9475027469561361</v>
      </c>
      <c r="J4">
        <f>T_All_K1_N10_P0[[#This Row],[8]]</f>
        <v>6.9061622134799325</v>
      </c>
      <c r="L4" s="1">
        <f t="shared" si="0"/>
        <v>2.6480823557024826E-3</v>
      </c>
    </row>
    <row r="5" spans="1:12" x14ac:dyDescent="0.25">
      <c r="A5" t="str">
        <f>T_All_K1_N10_P0[[#This Row],[Identifier]]</f>
        <v>a77913344f83d12ba672562908a45473f0d39decfb73132ce324137df5880dca</v>
      </c>
      <c r="B5">
        <f>T_All_K1_N10_P0[[#This Row],[0]]</f>
        <v>3.6806850675421994</v>
      </c>
      <c r="C5">
        <f>T_All_K1_N10_P0[[#This Row],[1]]</f>
        <v>3.4622552365720152</v>
      </c>
      <c r="D5">
        <f>T_All_K1_N10_P0[[#This Row],[2]]</f>
        <v>7.1898995809386035</v>
      </c>
      <c r="E5">
        <f>T_All_K1_N10_P0[[#This Row],[3]]</f>
        <v>4.831699494929353</v>
      </c>
      <c r="F5">
        <f>T_All_K1_N10_P0[[#This Row],[4]]</f>
        <v>3.4472675040800835</v>
      </c>
      <c r="G5">
        <f>T_All_K1_N10_P0[[#This Row],[5]]</f>
        <v>3.5914727803758408</v>
      </c>
      <c r="H5">
        <f>T_All_K1_N10_P0[[#This Row],[6]]</f>
        <v>7.3375265575073261</v>
      </c>
      <c r="I5">
        <f>T_All_K1_N10_P0[[#This Row],[7]]</f>
        <v>3.6664365206031824</v>
      </c>
      <c r="J5">
        <f>T_All_K1_N10_P0[[#This Row],[8]]</f>
        <v>1.5938414754473371</v>
      </c>
      <c r="L5" s="1">
        <f t="shared" si="0"/>
        <v>4.500716821471161E-2</v>
      </c>
    </row>
    <row r="6" spans="1:12" x14ac:dyDescent="0.25">
      <c r="A6" t="str">
        <f>T_All_K1_N10_P0[[#This Row],[Identifier]]</f>
        <v>31dc9a7ab1e4d4612bdaf0e2738743d8249dd2a8c694e94911c68de321218e14</v>
      </c>
      <c r="B6">
        <f>T_All_K1_N10_P0[[#This Row],[0]]</f>
        <v>3.515163676673323</v>
      </c>
      <c r="C6">
        <f>T_All_K1_N10_P0[[#This Row],[1]]</f>
        <v>4.4862471372409622</v>
      </c>
      <c r="D6">
        <f>T_All_K1_N10_P0[[#This Row],[2]]</f>
        <v>1.4861697482960725</v>
      </c>
      <c r="E6">
        <f>T_All_K1_N10_P0[[#This Row],[3]]</f>
        <v>1.3635101685533184</v>
      </c>
      <c r="F6">
        <f>T_All_K1_N10_P0[[#This Row],[4]]</f>
        <v>3.53526090075635</v>
      </c>
      <c r="G6">
        <f>T_All_K1_N10_P0[[#This Row],[5]]</f>
        <v>3.5224217279771795</v>
      </c>
      <c r="H6">
        <f>T_All_K1_N10_P0[[#This Row],[6]]</f>
        <v>2.8510209949770431</v>
      </c>
      <c r="I6">
        <f>T_All_K1_N10_P0[[#This Row],[7]]</f>
        <v>2.2985379826715726</v>
      </c>
      <c r="J6">
        <f>T_All_K1_N10_P0[[#This Row],[8]]</f>
        <v>4.3910211373839143</v>
      </c>
      <c r="L6" s="1">
        <f t="shared" si="0"/>
        <v>5.3449103334324002E-3</v>
      </c>
    </row>
    <row r="7" spans="1:12" x14ac:dyDescent="0.25">
      <c r="A7" t="str">
        <f>T_All_K1_N10_P0[[#This Row],[Identifier]]</f>
        <v>cc16d76232e5a5ec88990779fb25161754f2fcae1be1817d9b06db6ed01a0252</v>
      </c>
      <c r="B7">
        <f>T_All_K1_N10_P0[[#This Row],[0]]</f>
        <v>4.9728168283518883</v>
      </c>
      <c r="C7">
        <f>T_All_K1_N10_P0[[#This Row],[1]]</f>
        <v>3.8049531213722649</v>
      </c>
      <c r="D7">
        <f>T_All_K1_N10_P0[[#This Row],[2]]</f>
        <v>7.6249440735833272</v>
      </c>
      <c r="E7">
        <f>T_All_K1_N10_P0[[#This Row],[3]]</f>
        <v>7.7130149904955454</v>
      </c>
      <c r="F7">
        <f>T_All_K1_N10_P0[[#This Row],[4]]</f>
        <v>6.2291926385145793</v>
      </c>
      <c r="G7">
        <f>T_All_K1_N10_P0[[#This Row],[5]]</f>
        <v>4.9568516220051126</v>
      </c>
      <c r="H7">
        <f>T_All_K1_N10_P0[[#This Row],[6]]</f>
        <v>7.0137946174370462</v>
      </c>
      <c r="I7">
        <f>T_All_K1_N10_P0[[#This Row],[7]]</f>
        <v>9.9947308013038754</v>
      </c>
      <c r="J7">
        <f>T_All_K1_N10_P0[[#This Row],[8]]</f>
        <v>3.6880668694790724</v>
      </c>
      <c r="L7" s="1">
        <f t="shared" si="0"/>
        <v>4.3188610837363438E-2</v>
      </c>
    </row>
    <row r="8" spans="1:12" x14ac:dyDescent="0.25">
      <c r="A8" t="str">
        <f>T_All_K1_N10_P0[[#This Row],[Identifier]]</f>
        <v>6495f98496f9faa9acbcdcf4e6d7f54f0fc9d6989ccd6cbe8d514c709be1ae47</v>
      </c>
      <c r="B8">
        <f>T_All_K1_N10_P0[[#This Row],[0]]</f>
        <v>7.4614273599204379</v>
      </c>
      <c r="C8">
        <f>T_All_K1_N10_P0[[#This Row],[1]]</f>
        <v>10.923783731130486</v>
      </c>
      <c r="D8">
        <f>T_All_K1_N10_P0[[#This Row],[2]]</f>
        <v>7.1545811053963577</v>
      </c>
      <c r="E8">
        <f>T_All_K1_N10_P0[[#This Row],[3]]</f>
        <v>9.0450020106953435</v>
      </c>
      <c r="F8">
        <f>T_All_K1_N10_P0[[#This Row],[4]]</f>
        <v>4.1600030742065446</v>
      </c>
      <c r="G8">
        <f>T_All_K1_N10_P0[[#This Row],[5]]</f>
        <v>8.00671243795537</v>
      </c>
      <c r="H8">
        <f>T_All_K1_N10_P0[[#This Row],[6]]</f>
        <v>4.6851751718397079</v>
      </c>
      <c r="I8">
        <f>T_All_K1_N10_P0[[#This Row],[7]]</f>
        <v>7.2636942822604587</v>
      </c>
      <c r="J8">
        <f>T_All_K1_N10_P0[[#This Row],[8]]</f>
        <v>4.8217605502557372</v>
      </c>
      <c r="L8" s="1">
        <f t="shared" si="0"/>
        <v>0.3232594440507322</v>
      </c>
    </row>
    <row r="9" spans="1:12" x14ac:dyDescent="0.25">
      <c r="A9" t="str">
        <f>T_All_K1_N10_P0[[#This Row],[Identifier]]</f>
        <v>a0a4a0a999bb3c4c42ab65d8be5cc30bd395809ee6deffe8ff8849786856012c</v>
      </c>
      <c r="B9">
        <f>T_All_K1_N10_P0[[#This Row],[0]]</f>
        <v>13.601154606278058</v>
      </c>
      <c r="C9">
        <f>T_All_K1_N10_P0[[#This Row],[1]]</f>
        <v>12.485279961268851</v>
      </c>
      <c r="D9">
        <f>T_All_K1_N10_P0[[#This Row],[2]]</f>
        <v>8.0971607760376827</v>
      </c>
      <c r="E9">
        <f>T_All_K1_N10_P0[[#This Row],[3]]</f>
        <v>9.1003596670144482</v>
      </c>
      <c r="F9">
        <f>T_All_K1_N10_P0[[#This Row],[4]]</f>
        <v>9.6579611951565649</v>
      </c>
      <c r="G9">
        <f>T_All_K1_N10_P0[[#This Row],[5]]</f>
        <v>7.5895090197278314</v>
      </c>
      <c r="H9">
        <f>T_All_K1_N10_P0[[#This Row],[6]]</f>
        <v>7.7401406176644567</v>
      </c>
      <c r="I9">
        <f>T_All_K1_N10_P0[[#This Row],[7]]</f>
        <v>8.0109913457427666</v>
      </c>
      <c r="J9">
        <f>T_All_K1_N10_P0[[#This Row],[8]]</f>
        <v>9.7207106093365319</v>
      </c>
      <c r="L9" s="1">
        <f t="shared" si="0"/>
        <v>0.43918802886314823</v>
      </c>
    </row>
    <row r="10" spans="1:12" x14ac:dyDescent="0.25">
      <c r="A10" t="e">
        <f>T_All_K1_N10_P0[[#This Row],[Identifier]]</f>
        <v>#VALUE!</v>
      </c>
      <c r="B10" t="e">
        <f>T_All_K1_N10_P0[[#This Row],[0]]</f>
        <v>#VALUE!</v>
      </c>
      <c r="C10" t="e">
        <f>T_All_K1_N10_P0[[#This Row],[1]]</f>
        <v>#VALUE!</v>
      </c>
      <c r="D10" t="e">
        <f>T_All_K1_N10_P0[[#This Row],[2]]</f>
        <v>#VALUE!</v>
      </c>
      <c r="E10" t="e">
        <f>T_All_K1_N10_P0[[#This Row],[3]]</f>
        <v>#VALUE!</v>
      </c>
      <c r="F10" t="e">
        <f>T_All_K1_N10_P0[[#This Row],[4]]</f>
        <v>#VALUE!</v>
      </c>
      <c r="G10" t="e">
        <f>T_All_K1_N10_P0[[#This Row],[5]]</f>
        <v>#VALUE!</v>
      </c>
      <c r="H10" t="e">
        <f>T_All_K1_N10_P0[[#This Row],[6]]</f>
        <v>#VALUE!</v>
      </c>
      <c r="I10" t="e">
        <f>T_All_K1_N10_P0[[#This Row],[7]]</f>
        <v>#VALUE!</v>
      </c>
      <c r="J10" t="e">
        <f>T_All_K1_N10_P0[[#This Row],[8]]</f>
        <v>#VALUE!</v>
      </c>
      <c r="L10" s="1" t="e">
        <f t="shared" si="0"/>
        <v>#VALUE!</v>
      </c>
    </row>
    <row r="11" spans="1:12" x14ac:dyDescent="0.25">
      <c r="A11" t="e">
        <f>T_All_K1_N10_P0[[#This Row],[Identifier]]</f>
        <v>#VALUE!</v>
      </c>
      <c r="B11" t="e">
        <f>T_All_K1_N10_P0[[#This Row],[0]]</f>
        <v>#VALUE!</v>
      </c>
      <c r="C11" t="e">
        <f>T_All_K1_N10_P0[[#This Row],[1]]</f>
        <v>#VALUE!</v>
      </c>
      <c r="D11" t="e">
        <f>T_All_K1_N10_P0[[#This Row],[2]]</f>
        <v>#VALUE!</v>
      </c>
      <c r="E11" t="e">
        <f>T_All_K1_N10_P0[[#This Row],[3]]</f>
        <v>#VALUE!</v>
      </c>
      <c r="F11" t="e">
        <f>T_All_K1_N10_P0[[#This Row],[4]]</f>
        <v>#VALUE!</v>
      </c>
      <c r="G11" t="e">
        <f>T_All_K1_N10_P0[[#This Row],[5]]</f>
        <v>#VALUE!</v>
      </c>
      <c r="H11" t="e">
        <f>T_All_K1_N10_P0[[#This Row],[6]]</f>
        <v>#VALUE!</v>
      </c>
      <c r="I11" t="e">
        <f>T_All_K1_N10_P0[[#This Row],[7]]</f>
        <v>#VALUE!</v>
      </c>
      <c r="J11" t="e">
        <f>T_All_K1_N10_P0[[#This Row],[8]]</f>
        <v>#VALUE!</v>
      </c>
      <c r="L11" s="1" t="e">
        <f t="shared" si="0"/>
        <v>#VALUE!</v>
      </c>
    </row>
    <row r="14" spans="1:12" x14ac:dyDescent="0.25">
      <c r="K14" s="3" t="s">
        <v>31</v>
      </c>
      <c r="L14" s="1">
        <f>AVERAGE(L2:L9)</f>
        <v>0.12274971634492987</v>
      </c>
    </row>
    <row r="15" spans="1:12" x14ac:dyDescent="0.25">
      <c r="L15" s="1"/>
    </row>
    <row r="17" spans="1:12" x14ac:dyDescent="0.25">
      <c r="L17" s="3" t="s">
        <v>30</v>
      </c>
    </row>
    <row r="18" spans="1:12" x14ac:dyDescent="0.25">
      <c r="A18" s="3" t="s">
        <v>32</v>
      </c>
      <c r="B18">
        <f>AVERAGE(B2:B9)</f>
        <v>6.644746677065176</v>
      </c>
      <c r="C18">
        <f t="shared" ref="C18:J18" si="1">AVERAGE(C2:C9)</f>
        <v>6.3874110869077123</v>
      </c>
      <c r="D18">
        <f t="shared" si="1"/>
        <v>7.2704355480905321</v>
      </c>
      <c r="E18">
        <f t="shared" si="1"/>
        <v>6.3297287602572769</v>
      </c>
      <c r="F18">
        <f t="shared" si="1"/>
        <v>6.2794389960581301</v>
      </c>
      <c r="G18">
        <f t="shared" si="1"/>
        <v>5.8655869220133443</v>
      </c>
      <c r="H18">
        <f t="shared" si="1"/>
        <v>6.3166448785049738</v>
      </c>
      <c r="I18">
        <f t="shared" si="1"/>
        <v>7.242718145507026</v>
      </c>
      <c r="J18">
        <f t="shared" si="1"/>
        <v>5.4679116052276946</v>
      </c>
      <c r="L18">
        <f>RSQ(B1:J1,B18:J18)</f>
        <v>0.12554305279705164</v>
      </c>
    </row>
  </sheetData>
  <conditionalFormatting sqref="L1:L1048576">
    <cfRule type="cellIs" dxfId="4" priority="4" operator="between">
      <formula>0.1</formula>
      <formula>0.2</formula>
    </cfRule>
    <cfRule type="cellIs" dxfId="5" priority="3" operator="greaterThan">
      <formula>0.2</formula>
    </cfRule>
    <cfRule type="cellIs" dxfId="6" priority="2" operator="between">
      <formula>0</formula>
      <formula>0.1</formula>
    </cfRule>
    <cfRule type="containsBlanks" dxfId="3" priority="1">
      <formula>LEN(TRIM(L1))=0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F8F9B-68B4-4F1B-88F2-928C43112455}">
  <dimension ref="A1:L18"/>
  <sheetViews>
    <sheetView workbookViewId="0">
      <selection activeCell="K23" sqref="K23"/>
    </sheetView>
  </sheetViews>
  <sheetFormatPr defaultRowHeight="15" x14ac:dyDescent="0.25"/>
  <cols>
    <col min="1" max="1" width="67.5703125" bestFit="1" customWidth="1"/>
  </cols>
  <sheetData>
    <row r="1" spans="1:12" x14ac:dyDescent="0.25">
      <c r="A1" s="3" t="s">
        <v>11</v>
      </c>
      <c r="B1" s="3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K1" s="3" t="s">
        <v>20</v>
      </c>
      <c r="L1" s="3" t="s">
        <v>21</v>
      </c>
    </row>
    <row r="2" spans="1:12" x14ac:dyDescent="0.25">
      <c r="A2" t="str">
        <f>T_All_K1_N10_P0[[#This Row],[Identifier]]</f>
        <v>428da1312b4e9e175c8da20472e82f346f19060102702e896cd2ed510d1f82d3</v>
      </c>
      <c r="B2">
        <f>(T_All_K1_N10_P0[[#This Row],[1]]-T_All_K1_N10_P0[[#This Row],[0]])/ABS(T_All_K1_N10_P0[[#This Row],[0]])</f>
        <v>-0.52692211738839123</v>
      </c>
      <c r="C2">
        <f>(T_All_K1_N10_P0[[#This Row],[2]]-T_All_K1_N10_P0[[#This Row],[1]])/ABS(T_All_K1_N10_P0[[#This Row],[1]])</f>
        <v>2.544968329328817</v>
      </c>
      <c r="D2">
        <f>(T_All_K1_N10_P0[[#This Row],[3]]-T_All_K1_N10_P0[[#This Row],[2]])/ABS(T_All_K1_N10_P0[[#This Row],[2]])</f>
        <v>-0.56813601341206776</v>
      </c>
      <c r="E2">
        <f>(T_All_K1_N10_P0[[#This Row],[4]]-T_All_K1_N10_P0[[#This Row],[3]])/ABS(T_All_K1_N10_P0[[#This Row],[3]])</f>
        <v>0.37370450379231246</v>
      </c>
      <c r="F2">
        <f>(T_All_K1_N10_P0[[#This Row],[5]]-T_All_K1_N10_P0[[#This Row],[4]])/ABS(T_All_K1_N10_P0[[#This Row],[4]])</f>
        <v>-0.118606762510873</v>
      </c>
      <c r="G2">
        <f>(T_All_K1_N10_P0[[#This Row],[6]]-T_All_K1_N10_P0[[#This Row],[5]])/ABS(T_All_K1_N10_P0[[#This Row],[5]])</f>
        <v>7.8697958930203343E-2</v>
      </c>
      <c r="H2">
        <f>(T_All_K1_N10_P0[[#This Row],[7]]-T_All_K1_N10_P0[[#This Row],[6]])/ABS(T_All_K1_N10_P0[[#This Row],[6]])</f>
        <v>0.66811740788437368</v>
      </c>
      <c r="I2">
        <f>(T_All_K1_N10_P0[[#This Row],[8]]-T_All_K1_N10_P0[[#This Row],[7]])/ABS(T_All_K1_N10_P0[[#This Row],[7]])</f>
        <v>-0.21505646012697968</v>
      </c>
      <c r="K2">
        <f t="shared" ref="K2:K11" si="0">AVERAGE(B2:I2)</f>
        <v>0.27959585581217428</v>
      </c>
      <c r="L2" t="e">
        <f>(#REF!-T_All_K1_N10_P0[[#This Row],[0]])/ABS(T_All_K1_N10_P0[[#This Row],[0]])</f>
        <v>#REF!</v>
      </c>
    </row>
    <row r="3" spans="1:12" x14ac:dyDescent="0.25">
      <c r="A3" t="str">
        <f>T_All_K1_N10_P0[[#This Row],[Identifier]]</f>
        <v>b96c0907522c2773f70c3772a20a66ed27faa11b69222bb914593d8c048e550f</v>
      </c>
      <c r="B3">
        <f>(T_All_K1_N10_P0[[#This Row],[1]]-T_All_K1_N10_P0[[#This Row],[0]])/ABS(T_All_K1_N10_P0[[#This Row],[0]])</f>
        <v>-0.34916960336634939</v>
      </c>
      <c r="C3">
        <f>(T_All_K1_N10_P0[[#This Row],[2]]-T_All_K1_N10_P0[[#This Row],[1]])/ABS(T_All_K1_N10_P0[[#This Row],[1]])</f>
        <v>0.78493282931014752</v>
      </c>
      <c r="D3">
        <f>(T_All_K1_N10_P0[[#This Row],[3]]-T_All_K1_N10_P0[[#This Row],[2]])/ABS(T_All_K1_N10_P0[[#This Row],[2]])</f>
        <v>-0.52547934570925781</v>
      </c>
      <c r="E3">
        <f>(T_All_K1_N10_P0[[#This Row],[4]]-T_All_K1_N10_P0[[#This Row],[3]])/ABS(T_All_K1_N10_P0[[#This Row],[3]])</f>
        <v>1.5111387230940139</v>
      </c>
      <c r="F3">
        <f>(T_All_K1_N10_P0[[#This Row],[5]]-T_All_K1_N10_P0[[#This Row],[4]])/ABS(T_All_K1_N10_P0[[#This Row],[4]])</f>
        <v>-0.26863177667977894</v>
      </c>
      <c r="G3">
        <f>(T_All_K1_N10_P0[[#This Row],[6]]-T_All_K1_N10_P0[[#This Row],[5]])/ABS(T_All_K1_N10_P0[[#This Row],[5]])</f>
        <v>-0.30769806351199991</v>
      </c>
      <c r="H3">
        <f>(T_All_K1_N10_P0[[#This Row],[7]]-T_All_K1_N10_P0[[#This Row],[6]])/ABS(T_All_K1_N10_P0[[#This Row],[6]])</f>
        <v>0.7862130898987304</v>
      </c>
      <c r="I3">
        <f>(T_All_K1_N10_P0[[#This Row],[8]]-T_All_K1_N10_P0[[#This Row],[7]])/ABS(T_All_K1_N10_P0[[#This Row],[7]])</f>
        <v>-0.42945820492878284</v>
      </c>
      <c r="K3">
        <f t="shared" si="0"/>
        <v>0.15023095601334036</v>
      </c>
      <c r="L3" t="e">
        <f>(#REF!-T_All_K1_N10_P0[[#This Row],[0]])/ABS(T_All_K1_N10_P0[[#This Row],[0]])</f>
        <v>#REF!</v>
      </c>
    </row>
    <row r="4" spans="1:12" x14ac:dyDescent="0.25">
      <c r="A4" t="str">
        <f>T_All_K1_N10_P0[[#This Row],[Identifier]]</f>
        <v>91c19dd683a61988ab47f9523ac0c69189fc5bf0bc129535df465e67ceaa3f5c</v>
      </c>
      <c r="B4">
        <f>(T_All_K1_N10_P0[[#This Row],[1]]-T_All_K1_N10_P0[[#This Row],[0]])/ABS(T_All_K1_N10_P0[[#This Row],[0]])</f>
        <v>0.27026137018553431</v>
      </c>
      <c r="C4">
        <f>(T_All_K1_N10_P0[[#This Row],[2]]-T_All_K1_N10_P0[[#This Row],[1]])/ABS(T_All_K1_N10_P0[[#This Row],[1]])</f>
        <v>-1.9288685314869002E-2</v>
      </c>
      <c r="D4">
        <f>(T_All_K1_N10_P0[[#This Row],[3]]-T_All_K1_N10_P0[[#This Row],[2]])/ABS(T_All_K1_N10_P0[[#This Row],[2]])</f>
        <v>0.27024449406086354</v>
      </c>
      <c r="E4">
        <f>(T_All_K1_N10_P0[[#This Row],[4]]-T_All_K1_N10_P0[[#This Row],[3]])/ABS(T_All_K1_N10_P0[[#This Row],[3]])</f>
        <v>-0.33887525749919212</v>
      </c>
      <c r="F4">
        <f>(T_All_K1_N10_P0[[#This Row],[5]]-T_All_K1_N10_P0[[#This Row],[4]])/ABS(T_All_K1_N10_P0[[#This Row],[4]])</f>
        <v>-5.4288939723981834E-2</v>
      </c>
      <c r="G4">
        <f>(T_All_K1_N10_P0[[#This Row],[6]]-T_All_K1_N10_P0[[#This Row],[5]])/ABS(T_All_K1_N10_P0[[#This Row],[5]])</f>
        <v>0.58231053595810101</v>
      </c>
      <c r="H4">
        <f>(T_All_K1_N10_P0[[#This Row],[7]]-T_All_K1_N10_P0[[#This Row],[6]])/ABS(T_All_K1_N10_P0[[#This Row],[6]])</f>
        <v>-0.20906761883386707</v>
      </c>
      <c r="I4">
        <f>(T_All_K1_N10_P0[[#This Row],[8]]-T_All_K1_N10_P0[[#This Row],[7]])/ABS(T_All_K1_N10_P0[[#This Row],[7]])</f>
        <v>-0.13102738893359089</v>
      </c>
      <c r="K4">
        <f t="shared" si="0"/>
        <v>4.6283563737374744E-2</v>
      </c>
      <c r="L4" t="e">
        <f>(#REF!-T_All_K1_N10_P0[[#This Row],[0]])/ABS(T_All_K1_N10_P0[[#This Row],[0]])</f>
        <v>#REF!</v>
      </c>
    </row>
    <row r="5" spans="1:12" x14ac:dyDescent="0.25">
      <c r="A5" t="str">
        <f>T_All_K1_N10_P0[[#This Row],[Identifier]]</f>
        <v>a77913344f83d12ba672562908a45473f0d39decfb73132ce324137df5880dca</v>
      </c>
      <c r="B5">
        <f>(T_All_K1_N10_P0[[#This Row],[1]]-T_All_K1_N10_P0[[#This Row],[0]])/ABS(T_All_K1_N10_P0[[#This Row],[0]])</f>
        <v>-5.9344884705401349E-2</v>
      </c>
      <c r="C5">
        <f>(T_All_K1_N10_P0[[#This Row],[2]]-T_All_K1_N10_P0[[#This Row],[1]])/ABS(T_All_K1_N10_P0[[#This Row],[1]])</f>
        <v>1.0766520922522556</v>
      </c>
      <c r="D5">
        <f>(T_All_K1_N10_P0[[#This Row],[3]]-T_All_K1_N10_P0[[#This Row],[2]])/ABS(T_All_K1_N10_P0[[#This Row],[2]])</f>
        <v>-0.32798790295502289</v>
      </c>
      <c r="E5">
        <f>(T_All_K1_N10_P0[[#This Row],[4]]-T_All_K1_N10_P0[[#This Row],[3]])/ABS(T_All_K1_N10_P0[[#This Row],[3]])</f>
        <v>-0.28653106268346518</v>
      </c>
      <c r="F5">
        <f>(T_All_K1_N10_P0[[#This Row],[5]]-T_All_K1_N10_P0[[#This Row],[4]])/ABS(T_All_K1_N10_P0[[#This Row],[4]])</f>
        <v>4.1831762729489436E-2</v>
      </c>
      <c r="G5">
        <f>(T_All_K1_N10_P0[[#This Row],[6]]-T_All_K1_N10_P0[[#This Row],[5]])/ABS(T_All_K1_N10_P0[[#This Row],[5]])</f>
        <v>1.0430411160569808</v>
      </c>
      <c r="H5">
        <f>(T_All_K1_N10_P0[[#This Row],[7]]-T_All_K1_N10_P0[[#This Row],[6]])/ABS(T_All_K1_N10_P0[[#This Row],[6]])</f>
        <v>-0.50031710388129358</v>
      </c>
      <c r="I5">
        <f>(T_All_K1_N10_P0[[#This Row],[8]]-T_All_K1_N10_P0[[#This Row],[7]])/ABS(T_All_K1_N10_P0[[#This Row],[7]])</f>
        <v>-0.56528867566889518</v>
      </c>
      <c r="K5">
        <f t="shared" si="0"/>
        <v>5.2756917643080936E-2</v>
      </c>
      <c r="L5" t="e">
        <f>(#REF!-T_All_K1_N10_P0[[#This Row],[0]])/ABS(T_All_K1_N10_P0[[#This Row],[0]])</f>
        <v>#REF!</v>
      </c>
    </row>
    <row r="6" spans="1:12" x14ac:dyDescent="0.25">
      <c r="A6" t="str">
        <f>T_All_K1_N10_P0[[#This Row],[Identifier]]</f>
        <v>31dc9a7ab1e4d4612bdaf0e2738743d8249dd2a8c694e94911c68de321218e14</v>
      </c>
      <c r="B6">
        <f>(T_All_K1_N10_P0[[#This Row],[1]]-T_All_K1_N10_P0[[#This Row],[0]])/ABS(T_All_K1_N10_P0[[#This Row],[0]])</f>
        <v>0.27625554593994106</v>
      </c>
      <c r="C6">
        <f>(T_All_K1_N10_P0[[#This Row],[2]]-T_All_K1_N10_P0[[#This Row],[1]])/ABS(T_All_K1_N10_P0[[#This Row],[1]])</f>
        <v>-0.66872762404033192</v>
      </c>
      <c r="D6">
        <f>(T_All_K1_N10_P0[[#This Row],[3]]-T_All_K1_N10_P0[[#This Row],[2]])/ABS(T_All_K1_N10_P0[[#This Row],[2]])</f>
        <v>-8.2534030775008108E-2</v>
      </c>
      <c r="E6">
        <f>(T_All_K1_N10_P0[[#This Row],[4]]-T_All_K1_N10_P0[[#This Row],[3]])/ABS(T_All_K1_N10_P0[[#This Row],[3]])</f>
        <v>1.5927646029272045</v>
      </c>
      <c r="F6">
        <f>(T_All_K1_N10_P0[[#This Row],[5]]-T_All_K1_N10_P0[[#This Row],[4]])/ABS(T_All_K1_N10_P0[[#This Row],[4]])</f>
        <v>-3.6317468892956952E-3</v>
      </c>
      <c r="G6">
        <f>(T_All_K1_N10_P0[[#This Row],[6]]-T_All_K1_N10_P0[[#This Row],[5]])/ABS(T_All_K1_N10_P0[[#This Row],[5]])</f>
        <v>-0.19060770823308018</v>
      </c>
      <c r="H6">
        <f>(T_All_K1_N10_P0[[#This Row],[7]]-T_All_K1_N10_P0[[#This Row],[6]])/ABS(T_All_K1_N10_P0[[#This Row],[6]])</f>
        <v>-0.19378426650622374</v>
      </c>
      <c r="I6">
        <f>(T_All_K1_N10_P0[[#This Row],[8]]-T_All_K1_N10_P0[[#This Row],[7]])/ABS(T_All_K1_N10_P0[[#This Row],[7]])</f>
        <v>0.91035395998993451</v>
      </c>
      <c r="K6">
        <f t="shared" si="0"/>
        <v>0.20501109155164254</v>
      </c>
      <c r="L6" t="e">
        <f>(#REF!-T_All_K1_N10_P0[[#This Row],[0]])/ABS(T_All_K1_N10_P0[[#This Row],[0]])</f>
        <v>#REF!</v>
      </c>
    </row>
    <row r="7" spans="1:12" x14ac:dyDescent="0.25">
      <c r="A7" t="str">
        <f>T_All_K1_N10_P0[[#This Row],[Identifier]]</f>
        <v>cc16d76232e5a5ec88990779fb25161754f2fcae1be1817d9b06db6ed01a0252</v>
      </c>
      <c r="B7">
        <f>(T_All_K1_N10_P0[[#This Row],[1]]-T_All_K1_N10_P0[[#This Row],[0]])/ABS(T_All_K1_N10_P0[[#This Row],[0]])</f>
        <v>-0.23484953242620876</v>
      </c>
      <c r="C7">
        <f>(T_All_K1_N10_P0[[#This Row],[2]]-T_All_K1_N10_P0[[#This Row],[1]])/ABS(T_All_K1_N10_P0[[#This Row],[1]])</f>
        <v>1.00395217243396</v>
      </c>
      <c r="D7">
        <f>(T_All_K1_N10_P0[[#This Row],[3]]-T_All_K1_N10_P0[[#This Row],[2]])/ABS(T_All_K1_N10_P0[[#This Row],[2]])</f>
        <v>1.155036890268357E-2</v>
      </c>
      <c r="E7">
        <f>(T_All_K1_N10_P0[[#This Row],[4]]-T_All_K1_N10_P0[[#This Row],[3]])/ABS(T_All_K1_N10_P0[[#This Row],[3]])</f>
        <v>-0.1923790312620193</v>
      </c>
      <c r="F7">
        <f>(T_All_K1_N10_P0[[#This Row],[5]]-T_All_K1_N10_P0[[#This Row],[4]])/ABS(T_All_K1_N10_P0[[#This Row],[4]])</f>
        <v>-0.20425456240391221</v>
      </c>
      <c r="G7">
        <f>(T_All_K1_N10_P0[[#This Row],[6]]-T_All_K1_N10_P0[[#This Row],[5]])/ABS(T_All_K1_N10_P0[[#This Row],[5]])</f>
        <v>0.41496965257149915</v>
      </c>
      <c r="H7">
        <f>(T_All_K1_N10_P0[[#This Row],[7]]-T_All_K1_N10_P0[[#This Row],[6]])/ABS(T_All_K1_N10_P0[[#This Row],[6]])</f>
        <v>0.42501047527908814</v>
      </c>
      <c r="I7">
        <f>(T_All_K1_N10_P0[[#This Row],[8]]-T_All_K1_N10_P0[[#This Row],[7]])/ABS(T_All_K1_N10_P0[[#This Row],[7]])</f>
        <v>-0.6309988790295441</v>
      </c>
      <c r="K7">
        <f t="shared" si="0"/>
        <v>7.4125083008193302E-2</v>
      </c>
      <c r="L7" t="e">
        <f>(#REF!-T_All_K1_N10_P0[[#This Row],[0]])/ABS(T_All_K1_N10_P0[[#This Row],[0]])</f>
        <v>#REF!</v>
      </c>
    </row>
    <row r="8" spans="1:12" x14ac:dyDescent="0.25">
      <c r="A8" t="str">
        <f>T_All_K1_N10_P0[[#This Row],[Identifier]]</f>
        <v>6495f98496f9faa9acbcdcf4e6d7f54f0fc9d6989ccd6cbe8d514c709be1ae47</v>
      </c>
      <c r="B8">
        <f>(T_All_K1_N10_P0[[#This Row],[1]]-T_All_K1_N10_P0[[#This Row],[0]])/ABS(T_All_K1_N10_P0[[#This Row],[0]])</f>
        <v>0.46403405195744851</v>
      </c>
      <c r="C8">
        <f>(T_All_K1_N10_P0[[#This Row],[2]]-T_All_K1_N10_P0[[#This Row],[1]])/ABS(T_All_K1_N10_P0[[#This Row],[1]])</f>
        <v>-0.34504551888854168</v>
      </c>
      <c r="D8">
        <f>(T_All_K1_N10_P0[[#This Row],[3]]-T_All_K1_N10_P0[[#This Row],[2]])/ABS(T_All_K1_N10_P0[[#This Row],[2]])</f>
        <v>0.26422523938866693</v>
      </c>
      <c r="E8">
        <f>(T_All_K1_N10_P0[[#This Row],[4]]-T_All_K1_N10_P0[[#This Row],[3]])/ABS(T_All_K1_N10_P0[[#This Row],[3]])</f>
        <v>-0.54007715318498417</v>
      </c>
      <c r="F8">
        <f>(T_All_K1_N10_P0[[#This Row],[5]]-T_All_K1_N10_P0[[#This Row],[4]])/ABS(T_All_K1_N10_P0[[#This Row],[4]])</f>
        <v>0.92468906756337554</v>
      </c>
      <c r="G8">
        <f>(T_All_K1_N10_P0[[#This Row],[6]]-T_All_K1_N10_P0[[#This Row],[5]])/ABS(T_All_K1_N10_P0[[#This Row],[5]])</f>
        <v>-0.41484408136978934</v>
      </c>
      <c r="H8">
        <f>(T_All_K1_N10_P0[[#This Row],[7]]-T_All_K1_N10_P0[[#This Row],[6]])/ABS(T_All_K1_N10_P0[[#This Row],[6]])</f>
        <v>0.55035703380291212</v>
      </c>
      <c r="I8">
        <f>(T_All_K1_N10_P0[[#This Row],[8]]-T_All_K1_N10_P0[[#This Row],[7]])/ABS(T_All_K1_N10_P0[[#This Row],[7]])</f>
        <v>-0.33618344014952029</v>
      </c>
      <c r="K8">
        <f t="shared" si="0"/>
        <v>7.0894399889945961E-2</v>
      </c>
      <c r="L8" t="e">
        <f>(#REF!-T_All_K1_N10_P0[[#This Row],[0]])/ABS(T_All_K1_N10_P0[[#This Row],[0]])</f>
        <v>#REF!</v>
      </c>
    </row>
    <row r="9" spans="1:12" x14ac:dyDescent="0.25">
      <c r="A9" t="str">
        <f>T_All_K1_N10_P0[[#This Row],[Identifier]]</f>
        <v>a0a4a0a999bb3c4c42ab65d8be5cc30bd395809ee6deffe8ff8849786856012c</v>
      </c>
      <c r="B9">
        <f>(T_All_K1_N10_P0[[#This Row],[1]]-T_All_K1_N10_P0[[#This Row],[0]])/ABS(T_All_K1_N10_P0[[#This Row],[0]])</f>
        <v>-8.2042641033882396E-2</v>
      </c>
      <c r="C9">
        <f>(T_All_K1_N10_P0[[#This Row],[2]]-T_All_K1_N10_P0[[#This Row],[1]])/ABS(T_All_K1_N10_P0[[#This Row],[1]])</f>
        <v>-0.35146341922998531</v>
      </c>
      <c r="D9">
        <f>(T_All_K1_N10_P0[[#This Row],[3]]-T_All_K1_N10_P0[[#This Row],[2]])/ABS(T_All_K1_N10_P0[[#This Row],[2]])</f>
        <v>0.12389514284384474</v>
      </c>
      <c r="E9">
        <f>(T_All_K1_N10_P0[[#This Row],[4]]-T_All_K1_N10_P0[[#This Row],[3]])/ABS(T_All_K1_N10_P0[[#This Row],[3]])</f>
        <v>6.1272471478596942E-2</v>
      </c>
      <c r="F9">
        <f>(T_All_K1_N10_P0[[#This Row],[5]]-T_All_K1_N10_P0[[#This Row],[4]])/ABS(T_All_K1_N10_P0[[#This Row],[4]])</f>
        <v>-0.21417068609325696</v>
      </c>
      <c r="G9">
        <f>(T_All_K1_N10_P0[[#This Row],[6]]-T_All_K1_N10_P0[[#This Row],[5]])/ABS(T_All_K1_N10_P0[[#This Row],[5]])</f>
        <v>1.9847344214899833E-2</v>
      </c>
      <c r="H9">
        <f>(T_All_K1_N10_P0[[#This Row],[7]]-T_All_K1_N10_P0[[#This Row],[6]])/ABS(T_All_K1_N10_P0[[#This Row],[6]])</f>
        <v>3.4992998377856029E-2</v>
      </c>
      <c r="I9">
        <f>(T_All_K1_N10_P0[[#This Row],[8]]-T_All_K1_N10_P0[[#This Row],[7]])/ABS(T_All_K1_N10_P0[[#This Row],[7]])</f>
        <v>0.2134216840094767</v>
      </c>
      <c r="K9">
        <f t="shared" si="0"/>
        <v>-2.4280888179056312E-2</v>
      </c>
      <c r="L9" t="e">
        <f>(#REF!-T_All_K1_N10_P0[[#This Row],[0]])/ABS(T_All_K1_N10_P0[[#This Row],[0]])</f>
        <v>#REF!</v>
      </c>
    </row>
    <row r="10" spans="1:12" x14ac:dyDescent="0.25">
      <c r="A10" t="e">
        <f>T_All_K1_N10_P0[[#This Row],[Identifier]]</f>
        <v>#VALUE!</v>
      </c>
      <c r="B10" t="e">
        <f>(T_All_K1_N10_P0[[#This Row],[1]]-T_All_K1_N10_P0[[#This Row],[0]])/ABS(T_All_K1_N10_P0[[#This Row],[0]])</f>
        <v>#VALUE!</v>
      </c>
      <c r="C10" t="e">
        <f>(T_All_K1_N10_P0[[#This Row],[2]]-T_All_K1_N10_P0[[#This Row],[1]])/ABS(T_All_K1_N10_P0[[#This Row],[1]])</f>
        <v>#VALUE!</v>
      </c>
      <c r="D10" t="e">
        <f>(T_All_K1_N10_P0[[#This Row],[3]]-T_All_K1_N10_P0[[#This Row],[2]])/ABS(T_All_K1_N10_P0[[#This Row],[2]])</f>
        <v>#VALUE!</v>
      </c>
      <c r="E10" t="e">
        <f>(T_All_K1_N10_P0[[#This Row],[4]]-T_All_K1_N10_P0[[#This Row],[3]])/ABS(T_All_K1_N10_P0[[#This Row],[3]])</f>
        <v>#VALUE!</v>
      </c>
      <c r="F10" t="e">
        <f>(T_All_K1_N10_P0[[#This Row],[5]]-T_All_K1_N10_P0[[#This Row],[4]])/ABS(T_All_K1_N10_P0[[#This Row],[4]])</f>
        <v>#VALUE!</v>
      </c>
      <c r="G10" t="e">
        <f>(T_All_K1_N10_P0[[#This Row],[6]]-T_All_K1_N10_P0[[#This Row],[5]])/ABS(T_All_K1_N10_P0[[#This Row],[5]])</f>
        <v>#VALUE!</v>
      </c>
      <c r="H10" t="e">
        <f>(T_All_K1_N10_P0[[#This Row],[7]]-T_All_K1_N10_P0[[#This Row],[6]])/ABS(T_All_K1_N10_P0[[#This Row],[6]])</f>
        <v>#VALUE!</v>
      </c>
      <c r="I10" t="e">
        <f>(T_All_K1_N10_P0[[#This Row],[8]]-T_All_K1_N10_P0[[#This Row],[7]])/ABS(T_All_K1_N10_P0[[#This Row],[7]])</f>
        <v>#VALUE!</v>
      </c>
      <c r="K10" t="e">
        <f t="shared" si="0"/>
        <v>#VALUE!</v>
      </c>
      <c r="L10" t="e">
        <f>(#REF!-T_All_K1_N10_P0[[#This Row],[0]])/ABS(T_All_K1_N10_P0[[#This Row],[0]])</f>
        <v>#REF!</v>
      </c>
    </row>
    <row r="11" spans="1:12" x14ac:dyDescent="0.25">
      <c r="A11" t="e">
        <f>T_All_K1_N10_P0[[#This Row],[Identifier]]</f>
        <v>#VALUE!</v>
      </c>
      <c r="B11" t="e">
        <f>(T_All_K1_N10_P0[[#This Row],[1]]-T_All_K1_N10_P0[[#This Row],[0]])/ABS(T_All_K1_N10_P0[[#This Row],[0]])</f>
        <v>#VALUE!</v>
      </c>
      <c r="C11" t="e">
        <f>(T_All_K1_N10_P0[[#This Row],[2]]-T_All_K1_N10_P0[[#This Row],[1]])/ABS(T_All_K1_N10_P0[[#This Row],[1]])</f>
        <v>#VALUE!</v>
      </c>
      <c r="D11" t="e">
        <f>(T_All_K1_N10_P0[[#This Row],[3]]-T_All_K1_N10_P0[[#This Row],[2]])/ABS(T_All_K1_N10_P0[[#This Row],[2]])</f>
        <v>#VALUE!</v>
      </c>
      <c r="E11" t="e">
        <f>(T_All_K1_N10_P0[[#This Row],[4]]-T_All_K1_N10_P0[[#This Row],[3]])/ABS(T_All_K1_N10_P0[[#This Row],[3]])</f>
        <v>#VALUE!</v>
      </c>
      <c r="F11" t="e">
        <f>(T_All_K1_N10_P0[[#This Row],[5]]-T_All_K1_N10_P0[[#This Row],[4]])/ABS(T_All_K1_N10_P0[[#This Row],[4]])</f>
        <v>#VALUE!</v>
      </c>
      <c r="G11" t="e">
        <f>(T_All_K1_N10_P0[[#This Row],[6]]-T_All_K1_N10_P0[[#This Row],[5]])/ABS(T_All_K1_N10_P0[[#This Row],[5]])</f>
        <v>#VALUE!</v>
      </c>
      <c r="H11" t="e">
        <f>(T_All_K1_N10_P0[[#This Row],[7]]-T_All_K1_N10_P0[[#This Row],[6]])/ABS(T_All_K1_N10_P0[[#This Row],[6]])</f>
        <v>#VALUE!</v>
      </c>
      <c r="I11" t="e">
        <f>(T_All_K1_N10_P0[[#This Row],[8]]-T_All_K1_N10_P0[[#This Row],[7]])/ABS(T_All_K1_N10_P0[[#This Row],[7]])</f>
        <v>#VALUE!</v>
      </c>
      <c r="K11" t="e">
        <f t="shared" si="0"/>
        <v>#VALUE!</v>
      </c>
      <c r="L11" t="e">
        <f>(#REF!-T_All_K1_N10_P0[[#This Row],[0]])/ABS(T_All_K1_N10_P0[[#This Row],[0]])</f>
        <v>#REF!</v>
      </c>
    </row>
    <row r="14" spans="1:12" x14ac:dyDescent="0.25">
      <c r="J14" s="3" t="s">
        <v>20</v>
      </c>
      <c r="K14">
        <f>AVERAGE(K3:K9)</f>
        <v>8.2145874809217354E-2</v>
      </c>
      <c r="L14" t="e">
        <f>AVERAGE(L2:L9)</f>
        <v>#REF!</v>
      </c>
    </row>
    <row r="17" spans="1:12" x14ac:dyDescent="0.25">
      <c r="B17" s="3" t="s">
        <v>12</v>
      </c>
      <c r="C17" s="4" t="s">
        <v>13</v>
      </c>
      <c r="D17" s="4" t="s">
        <v>14</v>
      </c>
      <c r="E17" s="4" t="s">
        <v>15</v>
      </c>
      <c r="F17" s="4" t="s">
        <v>16</v>
      </c>
      <c r="G17" s="4" t="s">
        <v>17</v>
      </c>
      <c r="H17" s="4" t="s">
        <v>18</v>
      </c>
      <c r="I17" s="4" t="s">
        <v>19</v>
      </c>
      <c r="K17" s="3" t="s">
        <v>20</v>
      </c>
      <c r="L17" s="3" t="s">
        <v>21</v>
      </c>
    </row>
    <row r="18" spans="1:12" x14ac:dyDescent="0.25">
      <c r="A18" t="s">
        <v>20</v>
      </c>
      <c r="B18">
        <f>AVERAGE(B2:B9)</f>
        <v>-3.0222226354663654E-2</v>
      </c>
      <c r="C18">
        <f>AVERAGE(C2:C9)</f>
        <v>0.50324752198143152</v>
      </c>
      <c r="D18">
        <f>AVERAGE(D2:D9)</f>
        <v>-0.10427775595691227</v>
      </c>
      <c r="E18">
        <f>AVERAGE(E3:E9)</f>
        <v>0.25818761326716494</v>
      </c>
      <c r="F18">
        <f t="shared" ref="F18:I18" si="1">AVERAGE(F2:F9)</f>
        <v>1.2867044498970803E-2</v>
      </c>
      <c r="G18">
        <f t="shared" si="1"/>
        <v>0.15321459432710186</v>
      </c>
      <c r="H18">
        <f t="shared" si="1"/>
        <v>0.19519025200269699</v>
      </c>
      <c r="I18">
        <f t="shared" si="1"/>
        <v>-0.1480296756047377</v>
      </c>
      <c r="K18">
        <f>AVERAGE(B18:I18)</f>
        <v>0.10502217102013157</v>
      </c>
      <c r="L18" t="e">
        <f>(#REF!-B18)/(ABS(B18))</f>
        <v>#REF!</v>
      </c>
    </row>
  </sheetData>
  <conditionalFormatting sqref="K1:K1048576">
    <cfRule type="cellIs" dxfId="15" priority="5" operator="greaterThan">
      <formula>0</formula>
    </cfRule>
  </conditionalFormatting>
  <conditionalFormatting sqref="L1:L1048576">
    <cfRule type="cellIs" dxfId="14" priority="4" operator="greaterThan">
      <formula>0</formula>
    </cfRule>
  </conditionalFormatting>
  <conditionalFormatting sqref="K1:L1048576">
    <cfRule type="cellIs" dxfId="12" priority="3" operator="lessThan">
      <formula>0</formula>
    </cfRule>
  </conditionalFormatting>
  <conditionalFormatting sqref="A18:XFD18">
    <cfRule type="cellIs" dxfId="11" priority="2" operator="lessThan">
      <formula>0</formula>
    </cfRule>
    <cfRule type="cellIs" dxfId="10" priority="1" operator="greaterThan">
      <formula>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F9AE41-864E-4DEE-83D1-140C60385C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T-All_K1 N10 P0</vt:lpstr>
      <vt:lpstr>R Squared</vt:lpstr>
      <vt:lpstr>Relative Change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Theresa Sobb</dc:creator>
  <cp:lastModifiedBy>Theresa Sobb</cp:lastModifiedBy>
  <dcterms:created xsi:type="dcterms:W3CDTF">2025-11-26T04:05:36Z</dcterms:created>
  <dcterms:modified xsi:type="dcterms:W3CDTF">2025-11-27T23:27:01Z</dcterms:modified>
</cp:coreProperties>
</file>