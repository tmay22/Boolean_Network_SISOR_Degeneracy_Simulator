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Boolean_Network_SISOR_Degeneracy_Simulator\Boolean_Network_SISOR_Degeneracy_Simulator\Cumulative_Outputs\Results\"/>
    </mc:Choice>
  </mc:AlternateContent>
  <xr:revisionPtr revIDLastSave="0" documentId="13_ncr:1_{46DC015F-D092-4DDD-90E3-8320C18FE2C3}" xr6:coauthVersionLast="47" xr6:coauthVersionMax="47" xr10:uidLastSave="{00000000-0000-0000-0000-000000000000}"/>
  <bookViews>
    <workbookView xWindow="0" yWindow="300" windowWidth="26580" windowHeight="15840" activeTab="3" xr2:uid="{8979E4B9-F6D3-4FFF-BFAD-32F04701C466}"/>
  </bookViews>
  <sheets>
    <sheet name="T-All_K1 N10 P0" sheetId="7" r:id="rId1"/>
    <sheet name="R Squared" sheetId="5" r:id="rId2"/>
    <sheet name="Relative Change" sheetId="3" r:id="rId3"/>
    <sheet name="Graphs" sheetId="8" r:id="rId4"/>
  </sheets>
  <definedNames>
    <definedName name="ExternalData_1" localSheetId="3" hidden="1">Graphs!$A$2:$L$14</definedName>
    <definedName name="ExternalData_1" localSheetId="0" hidden="1">'T-All_K1 N10 P0'!$A$1:$L$13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A102" i="8"/>
  <c r="B102" i="8"/>
  <c r="C102" i="8"/>
  <c r="D102" i="8"/>
  <c r="E102" i="8"/>
  <c r="F102" i="8"/>
  <c r="G102" i="8"/>
  <c r="H102" i="8"/>
  <c r="I102" i="8"/>
  <c r="A103" i="8"/>
  <c r="B103" i="8"/>
  <c r="C103" i="8"/>
  <c r="D103" i="8"/>
  <c r="E103" i="8"/>
  <c r="F103" i="8"/>
  <c r="G103" i="8"/>
  <c r="H103" i="8"/>
  <c r="I103" i="8"/>
  <c r="A71" i="8"/>
  <c r="B71" i="8"/>
  <c r="A72" i="8"/>
  <c r="B72" i="8"/>
  <c r="A41" i="8"/>
  <c r="B41" i="8"/>
  <c r="A42" i="8"/>
  <c r="B42" i="8"/>
  <c r="C20" i="3"/>
  <c r="D20" i="3"/>
  <c r="E20" i="3"/>
  <c r="F20" i="3"/>
  <c r="G20" i="3"/>
  <c r="H20" i="3"/>
  <c r="I20" i="3"/>
  <c r="B20" i="3"/>
  <c r="L16" i="3"/>
  <c r="L12" i="3"/>
  <c r="L13" i="3"/>
  <c r="K12" i="3"/>
  <c r="K13" i="3"/>
  <c r="C13" i="3"/>
  <c r="D13" i="3"/>
  <c r="E13" i="3"/>
  <c r="F13" i="3"/>
  <c r="G13" i="3"/>
  <c r="H13" i="3"/>
  <c r="I13" i="3"/>
  <c r="C12" i="3"/>
  <c r="D12" i="3"/>
  <c r="E12" i="3"/>
  <c r="F12" i="3"/>
  <c r="G12" i="3"/>
  <c r="H12" i="3"/>
  <c r="I12" i="3"/>
  <c r="B12" i="3"/>
  <c r="B13" i="3"/>
  <c r="A12" i="3"/>
  <c r="A13" i="3"/>
  <c r="C20" i="5"/>
  <c r="D20" i="5"/>
  <c r="E20" i="5"/>
  <c r="F20" i="5"/>
  <c r="G20" i="5"/>
  <c r="H20" i="5"/>
  <c r="I20" i="5"/>
  <c r="J20" i="5"/>
  <c r="B20" i="5"/>
  <c r="L16" i="5"/>
  <c r="L12" i="5"/>
  <c r="L13" i="5"/>
  <c r="B11" i="5"/>
  <c r="C11" i="5"/>
  <c r="D11" i="5"/>
  <c r="E11" i="5"/>
  <c r="F11" i="5"/>
  <c r="G11" i="5"/>
  <c r="H11" i="5"/>
  <c r="I11" i="5"/>
  <c r="J11" i="5"/>
  <c r="B12" i="5"/>
  <c r="C12" i="5"/>
  <c r="D12" i="5"/>
  <c r="E12" i="5"/>
  <c r="F12" i="5"/>
  <c r="G12" i="5"/>
  <c r="H12" i="5"/>
  <c r="I12" i="5"/>
  <c r="J12" i="5"/>
  <c r="B13" i="5"/>
  <c r="C13" i="5"/>
  <c r="D13" i="5"/>
  <c r="E13" i="5"/>
  <c r="F13" i="5"/>
  <c r="G13" i="5"/>
  <c r="H13" i="5"/>
  <c r="I13" i="5"/>
  <c r="J13" i="5"/>
  <c r="A12" i="5"/>
  <c r="A13" i="5"/>
  <c r="C91" i="8"/>
  <c r="D91" i="8"/>
  <c r="E91" i="8"/>
  <c r="F91" i="8"/>
  <c r="G91" i="8"/>
  <c r="H91" i="8"/>
  <c r="I91" i="8"/>
  <c r="B91" i="8"/>
  <c r="A73" i="8"/>
  <c r="A60" i="8"/>
  <c r="A43" i="8"/>
  <c r="L3" i="3" l="1"/>
  <c r="L4" i="3"/>
  <c r="L5" i="3"/>
  <c r="L6" i="3"/>
  <c r="L7" i="3"/>
  <c r="L8" i="3"/>
  <c r="L9" i="3"/>
  <c r="L10" i="3"/>
  <c r="L11" i="3"/>
  <c r="L2" i="3"/>
  <c r="C10" i="3"/>
  <c r="C100" i="8" s="1"/>
  <c r="D10" i="3"/>
  <c r="D100" i="8" s="1"/>
  <c r="E10" i="3"/>
  <c r="E100" i="8" s="1"/>
  <c r="F10" i="3"/>
  <c r="F100" i="8" s="1"/>
  <c r="G10" i="3"/>
  <c r="G100" i="8" s="1"/>
  <c r="H10" i="3"/>
  <c r="H100" i="8" s="1"/>
  <c r="I10" i="3"/>
  <c r="I100" i="8" s="1"/>
  <c r="C11" i="3"/>
  <c r="C101" i="8" s="1"/>
  <c r="D11" i="3"/>
  <c r="D101" i="8" s="1"/>
  <c r="E11" i="3"/>
  <c r="E101" i="8" s="1"/>
  <c r="F11" i="3"/>
  <c r="F101" i="8" s="1"/>
  <c r="G11" i="3"/>
  <c r="G101" i="8" s="1"/>
  <c r="H11" i="3"/>
  <c r="H101" i="8" s="1"/>
  <c r="I11" i="3"/>
  <c r="I101" i="8" s="1"/>
  <c r="B11" i="3"/>
  <c r="A11" i="3"/>
  <c r="C10" i="5"/>
  <c r="D10" i="5"/>
  <c r="E10" i="5"/>
  <c r="F10" i="5"/>
  <c r="G10" i="5"/>
  <c r="H10" i="5"/>
  <c r="I10" i="5"/>
  <c r="J10" i="5"/>
  <c r="A11" i="5"/>
  <c r="A40" i="8" s="1"/>
  <c r="C2" i="3"/>
  <c r="D2" i="3"/>
  <c r="E2" i="3"/>
  <c r="F2" i="3"/>
  <c r="G2" i="3"/>
  <c r="H2" i="3"/>
  <c r="I2" i="3"/>
  <c r="C3" i="3"/>
  <c r="C93" i="8" s="1"/>
  <c r="D3" i="3"/>
  <c r="D93" i="8" s="1"/>
  <c r="E3" i="3"/>
  <c r="E93" i="8" s="1"/>
  <c r="F3" i="3"/>
  <c r="F93" i="8" s="1"/>
  <c r="G3" i="3"/>
  <c r="G93" i="8" s="1"/>
  <c r="H3" i="3"/>
  <c r="H93" i="8" s="1"/>
  <c r="I3" i="3"/>
  <c r="I93" i="8" s="1"/>
  <c r="C4" i="3"/>
  <c r="C94" i="8" s="1"/>
  <c r="D4" i="3"/>
  <c r="D94" i="8" s="1"/>
  <c r="E4" i="3"/>
  <c r="E94" i="8" s="1"/>
  <c r="F4" i="3"/>
  <c r="F94" i="8" s="1"/>
  <c r="G4" i="3"/>
  <c r="G94" i="8" s="1"/>
  <c r="H4" i="3"/>
  <c r="H94" i="8" s="1"/>
  <c r="I4" i="3"/>
  <c r="I94" i="8" s="1"/>
  <c r="C5" i="3"/>
  <c r="C95" i="8" s="1"/>
  <c r="D5" i="3"/>
  <c r="D95" i="8" s="1"/>
  <c r="E5" i="3"/>
  <c r="E95" i="8" s="1"/>
  <c r="F5" i="3"/>
  <c r="F95" i="8" s="1"/>
  <c r="G5" i="3"/>
  <c r="G95" i="8" s="1"/>
  <c r="H5" i="3"/>
  <c r="H95" i="8" s="1"/>
  <c r="I5" i="3"/>
  <c r="I95" i="8" s="1"/>
  <c r="C6" i="3"/>
  <c r="C96" i="8" s="1"/>
  <c r="D6" i="3"/>
  <c r="D96" i="8" s="1"/>
  <c r="E6" i="3"/>
  <c r="E96" i="8" s="1"/>
  <c r="F6" i="3"/>
  <c r="F96" i="8" s="1"/>
  <c r="G6" i="3"/>
  <c r="G96" i="8" s="1"/>
  <c r="H6" i="3"/>
  <c r="H96" i="8" s="1"/>
  <c r="I6" i="3"/>
  <c r="I96" i="8" s="1"/>
  <c r="C7" i="3"/>
  <c r="C97" i="8" s="1"/>
  <c r="D7" i="3"/>
  <c r="D97" i="8" s="1"/>
  <c r="E7" i="3"/>
  <c r="E97" i="8" s="1"/>
  <c r="F7" i="3"/>
  <c r="F97" i="8" s="1"/>
  <c r="G7" i="3"/>
  <c r="G97" i="8" s="1"/>
  <c r="H7" i="3"/>
  <c r="H97" i="8" s="1"/>
  <c r="I7" i="3"/>
  <c r="I97" i="8" s="1"/>
  <c r="C8" i="3"/>
  <c r="C98" i="8" s="1"/>
  <c r="D8" i="3"/>
  <c r="D98" i="8" s="1"/>
  <c r="E8" i="3"/>
  <c r="E98" i="8" s="1"/>
  <c r="F8" i="3"/>
  <c r="F98" i="8" s="1"/>
  <c r="G8" i="3"/>
  <c r="G98" i="8" s="1"/>
  <c r="H8" i="3"/>
  <c r="H98" i="8" s="1"/>
  <c r="I8" i="3"/>
  <c r="I98" i="8" s="1"/>
  <c r="C9" i="3"/>
  <c r="C99" i="8" s="1"/>
  <c r="D9" i="3"/>
  <c r="D99" i="8" s="1"/>
  <c r="E9" i="3"/>
  <c r="E99" i="8" s="1"/>
  <c r="F9" i="3"/>
  <c r="F99" i="8" s="1"/>
  <c r="G9" i="3"/>
  <c r="G99" i="8" s="1"/>
  <c r="H9" i="3"/>
  <c r="H99" i="8" s="1"/>
  <c r="I9" i="3"/>
  <c r="I99" i="8" s="1"/>
  <c r="B3" i="3"/>
  <c r="B93" i="8" s="1"/>
  <c r="B4" i="3"/>
  <c r="B94" i="8" s="1"/>
  <c r="B5" i="3"/>
  <c r="B95" i="8" s="1"/>
  <c r="B6" i="3"/>
  <c r="B96" i="8" s="1"/>
  <c r="B7" i="3"/>
  <c r="B97" i="8" s="1"/>
  <c r="B8" i="3"/>
  <c r="B98" i="8" s="1"/>
  <c r="B9" i="3"/>
  <c r="B99" i="8" s="1"/>
  <c r="B10" i="3"/>
  <c r="B100" i="8" s="1"/>
  <c r="A3" i="3"/>
  <c r="A4" i="3"/>
  <c r="A5" i="3"/>
  <c r="A6" i="3"/>
  <c r="A7" i="3"/>
  <c r="A8" i="3"/>
  <c r="A9" i="3"/>
  <c r="A10" i="3"/>
  <c r="A2" i="3"/>
  <c r="B2" i="5"/>
  <c r="C2" i="5"/>
  <c r="D2" i="5"/>
  <c r="E2" i="5"/>
  <c r="F2" i="5"/>
  <c r="G2" i="5"/>
  <c r="H2" i="5"/>
  <c r="I2" i="5"/>
  <c r="J2" i="5"/>
  <c r="B3" i="5"/>
  <c r="C3" i="5"/>
  <c r="D3" i="5"/>
  <c r="E3" i="5"/>
  <c r="F3" i="5"/>
  <c r="G3" i="5"/>
  <c r="H3" i="5"/>
  <c r="I3" i="5"/>
  <c r="J3" i="5"/>
  <c r="B4" i="5"/>
  <c r="C4" i="5"/>
  <c r="D4" i="5"/>
  <c r="E4" i="5"/>
  <c r="F4" i="5"/>
  <c r="G4" i="5"/>
  <c r="H4" i="5"/>
  <c r="I4" i="5"/>
  <c r="J4" i="5"/>
  <c r="B5" i="5"/>
  <c r="C5" i="5"/>
  <c r="D5" i="5"/>
  <c r="E5" i="5"/>
  <c r="F5" i="5"/>
  <c r="G5" i="5"/>
  <c r="H5" i="5"/>
  <c r="I5" i="5"/>
  <c r="J5" i="5"/>
  <c r="B6" i="5"/>
  <c r="C6" i="5"/>
  <c r="D6" i="5"/>
  <c r="E6" i="5"/>
  <c r="F6" i="5"/>
  <c r="G6" i="5"/>
  <c r="H6" i="5"/>
  <c r="I6" i="5"/>
  <c r="J6" i="5"/>
  <c r="B7" i="5"/>
  <c r="C7" i="5"/>
  <c r="D7" i="5"/>
  <c r="E7" i="5"/>
  <c r="F7" i="5"/>
  <c r="G7" i="5"/>
  <c r="H7" i="5"/>
  <c r="I7" i="5"/>
  <c r="J7" i="5"/>
  <c r="B8" i="5"/>
  <c r="C8" i="5"/>
  <c r="D8" i="5"/>
  <c r="E8" i="5"/>
  <c r="F8" i="5"/>
  <c r="G8" i="5"/>
  <c r="H8" i="5"/>
  <c r="I8" i="5"/>
  <c r="J8" i="5"/>
  <c r="B9" i="5"/>
  <c r="C9" i="5"/>
  <c r="D9" i="5"/>
  <c r="E9" i="5"/>
  <c r="F9" i="5"/>
  <c r="G9" i="5"/>
  <c r="H9" i="5"/>
  <c r="I9" i="5"/>
  <c r="J9" i="5"/>
  <c r="B10" i="5"/>
  <c r="A3" i="5"/>
  <c r="A32" i="8" s="1"/>
  <c r="A4" i="5"/>
  <c r="A33" i="8" s="1"/>
  <c r="A5" i="5"/>
  <c r="A34" i="8" s="1"/>
  <c r="A6" i="5"/>
  <c r="A35" i="8" s="1"/>
  <c r="A7" i="5"/>
  <c r="A36" i="8" s="1"/>
  <c r="A8" i="5"/>
  <c r="A37" i="8" s="1"/>
  <c r="A9" i="5"/>
  <c r="A38" i="8" s="1"/>
  <c r="A10" i="5"/>
  <c r="A39" i="8" s="1"/>
  <c r="A2" i="5"/>
  <c r="A31" i="8" s="1"/>
  <c r="A62" i="8" l="1"/>
  <c r="A93" i="8"/>
  <c r="B92" i="8"/>
  <c r="I92" i="8"/>
  <c r="A67" i="8"/>
  <c r="A98" i="8"/>
  <c r="H92" i="8"/>
  <c r="A99" i="8"/>
  <c r="A68" i="8"/>
  <c r="A97" i="8"/>
  <c r="A66" i="8"/>
  <c r="G92" i="8"/>
  <c r="A70" i="8"/>
  <c r="A101" i="8"/>
  <c r="A64" i="8"/>
  <c r="A95" i="8"/>
  <c r="A61" i="8"/>
  <c r="A92" i="8"/>
  <c r="C92" i="8"/>
  <c r="A69" i="8"/>
  <c r="A100" i="8"/>
  <c r="A96" i="8"/>
  <c r="A65" i="8"/>
  <c r="F92" i="8"/>
  <c r="K11" i="3"/>
  <c r="B70" i="8" s="1"/>
  <c r="B101" i="8"/>
  <c r="E92" i="8"/>
  <c r="A63" i="8"/>
  <c r="A94" i="8"/>
  <c r="D92" i="8"/>
  <c r="L11" i="5"/>
  <c r="B40" i="8" s="1"/>
  <c r="L10" i="5"/>
  <c r="B39" i="8" s="1"/>
  <c r="K10" i="3"/>
  <c r="B69" i="8" s="1"/>
  <c r="L4" i="5"/>
  <c r="B33" i="8" s="1"/>
  <c r="K8" i="3"/>
  <c r="B67" i="8" s="1"/>
  <c r="L8" i="5"/>
  <c r="B37" i="8" s="1"/>
  <c r="K6" i="3"/>
  <c r="B65" i="8" s="1"/>
  <c r="K7" i="3"/>
  <c r="B66" i="8" s="1"/>
  <c r="L5" i="5"/>
  <c r="B34" i="8" s="1"/>
  <c r="K5" i="3"/>
  <c r="B64" i="8" s="1"/>
  <c r="L6" i="5"/>
  <c r="B35" i="8" s="1"/>
  <c r="K4" i="3"/>
  <c r="B63" i="8" s="1"/>
  <c r="L7" i="5"/>
  <c r="B36" i="8" s="1"/>
  <c r="K3" i="3"/>
  <c r="B62" i="8" s="1"/>
  <c r="L9" i="5"/>
  <c r="B38" i="8" s="1"/>
  <c r="K9" i="3"/>
  <c r="B68" i="8" s="1"/>
  <c r="L3" i="5"/>
  <c r="B32" i="8" s="1"/>
  <c r="L2" i="5"/>
  <c r="K2" i="3"/>
  <c r="K16" i="3" s="1"/>
  <c r="L20" i="3" l="1"/>
  <c r="K20" i="3"/>
  <c r="B73" i="8"/>
  <c r="B61" i="8"/>
  <c r="L20" i="5"/>
  <c r="B31" i="8"/>
  <c r="B43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49BFA8-68FA-400C-B8F5-B60999914524}" keepAlive="1" name="Query - T-All_K1 N10 P0" description="Connection to the 'T-All_K1 N10 P0' query in the workbook." type="5" refreshedVersion="8" background="1" saveData="1">
    <dbPr connection="Provider=Microsoft.Mashup.OleDb.1;Data Source=$Workbook$;Location=&quot;T-All_K1 N10 P0&quot;;Extended Properties=&quot;&quot;" command="SELECT * FROM [T-All_K1 N10 P0]"/>
  </connection>
  <connection id="2" xr16:uid="{D93D28DE-E70B-4E0B-8D31-8BC615FA9CED}" keepAlive="1" name="Query - T-All_K1 N10 P0 (2)" description="Connection to the 'T-All_K1 N10 P0 (2)' query in the workbook." type="5" refreshedVersion="8" background="1" saveData="1">
    <dbPr connection="Provider=Microsoft.Mashup.OleDb.1;Data Source=$Workbook$;Location=&quot;T-All_K1 N10 P0 (2)&quot;;Extended Properties=&quot;&quot;" command="SELECT * FROM [T-All_K1 N10 P0 (2)]"/>
  </connection>
</connections>
</file>

<file path=xl/sharedStrings.xml><?xml version="1.0" encoding="utf-8"?>
<sst xmlns="http://schemas.openxmlformats.org/spreadsheetml/2006/main" count="85" uniqueCount="46">
  <si>
    <t>Identifier</t>
  </si>
  <si>
    <t>0</t>
  </si>
  <si>
    <t>1</t>
  </si>
  <si>
    <t>2</t>
  </si>
  <si>
    <t>3</t>
  </si>
  <si>
    <t>4</t>
  </si>
  <si>
    <t>5</t>
  </si>
  <si>
    <t>6</t>
  </si>
  <si>
    <t>7</t>
  </si>
  <si>
    <t>8</t>
  </si>
  <si>
    <t>R Squared</t>
  </si>
  <si>
    <t>ID</t>
  </si>
  <si>
    <t>0-1</t>
  </si>
  <si>
    <t>1-2</t>
  </si>
  <si>
    <t>2-3</t>
  </si>
  <si>
    <t>3-4</t>
  </si>
  <si>
    <t>4-5</t>
  </si>
  <si>
    <t>5-6</t>
  </si>
  <si>
    <t>6-7</t>
  </si>
  <si>
    <t>7-8</t>
  </si>
  <si>
    <t>Average</t>
  </si>
  <si>
    <t>Max-Min</t>
  </si>
  <si>
    <t>428da1312b4e9e175c8da20472e82f346f19060102702e896cd2ed510d1f82d3</t>
  </si>
  <si>
    <t>b96c0907522c2773f70c3772a20a66ed27faa11b69222bb914593d8c048e550f</t>
  </si>
  <si>
    <t>91c19dd683a61988ab47f9523ac0c69189fc5bf0bc129535df465e67ceaa3f5c</t>
  </si>
  <si>
    <t>a77913344f83d12ba672562908a45473f0d39decfb73132ce324137df5880dca</t>
  </si>
  <si>
    <t>31dc9a7ab1e4d4612bdaf0e2738743d8249dd2a8c694e94911c68de321218e14</t>
  </si>
  <si>
    <t>cc16d76232e5a5ec88990779fb25161754f2fcae1be1817d9b06db6ed01a0252</t>
  </si>
  <si>
    <t>6495f98496f9faa9acbcdcf4e6d7f54f0fc9d6989ccd6cbe8d514c709be1ae47</t>
  </si>
  <si>
    <t>a0a4a0a999bb3c4c42ab65d8be5cc30bd395809ee6deffe8ff8849786856012c</t>
  </si>
  <si>
    <t>RSQ of Ave</t>
  </si>
  <si>
    <t>Ave RSQ</t>
  </si>
  <si>
    <t>T Averages</t>
  </si>
  <si>
    <t>7f3b0e32ea2b17f7a0962be43fa129208723a474d1511b5ff8a21ed8c63aca65</t>
  </si>
  <si>
    <t>6f5b156caaebfa4130a64c596e5794c2e55be72403d2ceb5c236b43d6cf082d1</t>
  </si>
  <si>
    <t>Pure Data</t>
  </si>
  <si>
    <t>Relative Change</t>
  </si>
  <si>
    <t>Change</t>
  </si>
  <si>
    <t>Relative Change over Timesteps</t>
  </si>
  <si>
    <t>Column11</t>
  </si>
  <si>
    <t>Column12</t>
  </si>
  <si>
    <t>6aa02f42db10b522f763f840e9e8a0bcb461f6f2f570d596a768a59dbfd88113</t>
  </si>
  <si>
    <t>f3cc524e5f2cc476c53eea535c2fc45073cef06fbd25ecd7e5fe92d8b87b3d29</t>
  </si>
  <si>
    <t>s</t>
  </si>
  <si>
    <t>Average per ID</t>
  </si>
  <si>
    <t>Average per Timestep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</si>
</sst>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1" fontId="0" fillId="0" borderId="0" xfId="0" applyNumberFormat="1"/>
    <xf numFmtId="0" fontId="2" fillId="0" borderId="0" xfId="0" applyFont="1"/>
    <xf numFmtId="0" fontId="2" fillId="0" borderId="0" xfId="0" quotePrefix="1" applyFont="1"/>
    <xf numFmtId="0" fontId="3" fillId="2" borderId="1" xfId="0" applyFont="1" applyFill="1" applyBorder="1"/>
    <xf numFmtId="0" fontId="0" fillId="3" borderId="1" xfId="0" applyFill="1" applyBorder="1"/>
    <xf numFmtId="0" fontId="4" fillId="0" borderId="0" xfId="0" applyFont="1"/>
    <xf numFmtId="0" fontId="5" fillId="0" borderId="0" xfId="0" applyFont="1"/>
    <xf numFmtId="0" fontId="5" fillId="0" borderId="0" xfId="0" quotePrefix="1" applyFont="1"/>
  </cellXfs>
  <cellStyles count="1">
    <cellStyle name="Normal" xfId="0" builtinId="0"/>
  </cellStyles>
  <dxfs count="14"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CC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CC"/>
        </patternFill>
      </fill>
    </dxf>
    <dxf>
      <fill>
        <patternFill patternType="none">
          <bgColor auto="1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Pure</a:t>
            </a:r>
            <a:r>
              <a:rPr lang="en-AU" baseline="0"/>
              <a:t> Data</a:t>
            </a:r>
            <a:endParaRPr lang="en-AU"/>
          </a:p>
        </c:rich>
      </c:tx>
      <c:layout>
        <c:manualLayout>
          <c:xMode val="edge"/>
          <c:yMode val="edge"/>
          <c:x val="0.44441082840991786"/>
          <c:y val="4.37710437710437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Graphs!$A$3</c:f>
              <c:strCache>
                <c:ptCount val="1"/>
                <c:pt idx="0">
                  <c:v>428da1312b4e9e175c8da20472e82f346f19060102702e896cd2ed510d1f82d3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Graphs!$B$2:$J$2</c:f>
              <c:strCach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strCache>
            </c:strRef>
          </c:cat>
          <c:val>
            <c:numRef>
              <c:f>Graphs!$B$3:$J$3</c:f>
              <c:numCache>
                <c:formatCode>General</c:formatCode>
                <c:ptCount val="9"/>
                <c:pt idx="0">
                  <c:v>5.6707540869999997</c:v>
                </c:pt>
                <c:pt idx="1">
                  <c:v>2.6827083360000001</c:v>
                </c:pt>
                <c:pt idx="2">
                  <c:v>9.5101160900000004</c:v>
                </c:pt>
                <c:pt idx="3">
                  <c:v>4.1070766470000004</c:v>
                </c:pt>
                <c:pt idx="4">
                  <c:v>5.6419096880000001</c:v>
                </c:pt>
                <c:pt idx="5">
                  <c:v>4.9727410450000002</c:v>
                </c:pt>
                <c:pt idx="6">
                  <c:v>5.3640856159999997</c:v>
                </c:pt>
                <c:pt idx="7">
                  <c:v>8.9479245929999998</c:v>
                </c:pt>
                <c:pt idx="8">
                  <c:v>7.0236156049999998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61-477E-AC13-33A5F978FBFF}"/>
            </c:ext>
          </c:extLst>
        </c:ser>
        <c:ser>
          <c:idx val="1"/>
          <c:order val="1"/>
          <c:tx>
            <c:strRef>
              <c:f>Graphs!$A$4</c:f>
              <c:strCache>
                <c:ptCount val="1"/>
                <c:pt idx="0">
                  <c:v>b96c0907522c2773f70c3772a20a66ed27faa11b69222bb914593d8c048e550f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Graphs!$B$2:$J$2</c:f>
              <c:strCach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strCache>
            </c:strRef>
          </c:cat>
          <c:val>
            <c:numRef>
              <c:f>Graphs!$B$4:$J$4</c:f>
              <c:numCache>
                <c:formatCode>General</c:formatCode>
                <c:ptCount val="9"/>
                <c:pt idx="0">
                  <c:v>7.8374335410000002</c:v>
                </c:pt>
                <c:pt idx="1">
                  <c:v>5.1008399799999999</c:v>
                </c:pt>
                <c:pt idx="2">
                  <c:v>9.1046567379999992</c:v>
                </c:pt>
                <c:pt idx="3">
                  <c:v>4.3203476719999996</c:v>
                </c:pt>
                <c:pt idx="4">
                  <c:v>10.848992340000001</c:v>
                </c:pt>
                <c:pt idx="5">
                  <c:v>7.9346082500000001</c:v>
                </c:pt>
                <c:pt idx="6">
                  <c:v>5.4931446570000002</c:v>
                </c:pt>
                <c:pt idx="7">
                  <c:v>9.8119268910000006</c:v>
                </c:pt>
                <c:pt idx="8">
                  <c:v>5.5981143820000003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61-477E-AC13-33A5F978FBFF}"/>
            </c:ext>
          </c:extLst>
        </c:ser>
        <c:ser>
          <c:idx val="2"/>
          <c:order val="2"/>
          <c:tx>
            <c:strRef>
              <c:f>Graphs!$A$5</c:f>
              <c:strCache>
                <c:ptCount val="1"/>
                <c:pt idx="0">
                  <c:v>91c19dd683a61988ab47f9523ac0c69189fc5bf0bc129535df465e67ceaa3f5c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Graphs!$B$2:$J$2</c:f>
              <c:strCach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strCache>
            </c:strRef>
          </c:cat>
          <c:val>
            <c:numRef>
              <c:f>Graphs!$B$5:$J$5</c:f>
              <c:numCache>
                <c:formatCode>General</c:formatCode>
                <c:ptCount val="9"/>
                <c:pt idx="0">
                  <c:v>6.418538249</c:v>
                </c:pt>
                <c:pt idx="1">
                  <c:v>8.1532211910000001</c:v>
                </c:pt>
                <c:pt idx="2">
                  <c:v>7.995956273</c:v>
                </c:pt>
                <c:pt idx="3">
                  <c:v>10.156819430000001</c:v>
                </c:pt>
                <c:pt idx="4">
                  <c:v>6.7149246309999997</c:v>
                </c:pt>
                <c:pt idx="5">
                  <c:v>6.3503784919999999</c:v>
                </c:pt>
                <c:pt idx="6">
                  <c:v>10.048270799999999</c:v>
                </c:pt>
                <c:pt idx="7">
                  <c:v>7.9475027469999997</c:v>
                </c:pt>
                <c:pt idx="8">
                  <c:v>6.906162213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61-477E-AC13-33A5F978FBFF}"/>
            </c:ext>
          </c:extLst>
        </c:ser>
        <c:ser>
          <c:idx val="3"/>
          <c:order val="3"/>
          <c:tx>
            <c:strRef>
              <c:f>Graphs!$A$6</c:f>
              <c:strCache>
                <c:ptCount val="1"/>
                <c:pt idx="0">
                  <c:v>a77913344f83d12ba672562908a45473f0d39decfb73132ce324137df5880dca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Graphs!$B$2:$J$2</c:f>
              <c:strCach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strCache>
            </c:strRef>
          </c:cat>
          <c:val>
            <c:numRef>
              <c:f>Graphs!$B$6:$J$6</c:f>
              <c:numCache>
                <c:formatCode>General</c:formatCode>
                <c:ptCount val="9"/>
                <c:pt idx="0">
                  <c:v>3.6806850679999998</c:v>
                </c:pt>
                <c:pt idx="1">
                  <c:v>3.4622552369999999</c:v>
                </c:pt>
                <c:pt idx="2">
                  <c:v>7.1898995809999997</c:v>
                </c:pt>
                <c:pt idx="3">
                  <c:v>4.8316994949999996</c:v>
                </c:pt>
                <c:pt idx="4">
                  <c:v>3.447267504</c:v>
                </c:pt>
                <c:pt idx="5">
                  <c:v>3.5914727800000001</c:v>
                </c:pt>
                <c:pt idx="6">
                  <c:v>7.3375265580000004</c:v>
                </c:pt>
                <c:pt idx="7">
                  <c:v>3.6664365210000001</c:v>
                </c:pt>
                <c:pt idx="8">
                  <c:v>1.5938414750000001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61-477E-AC13-33A5F978FBFF}"/>
            </c:ext>
          </c:extLst>
        </c:ser>
        <c:ser>
          <c:idx val="4"/>
          <c:order val="4"/>
          <c:tx>
            <c:strRef>
              <c:f>Graphs!$A$7</c:f>
              <c:strCache>
                <c:ptCount val="1"/>
                <c:pt idx="0">
                  <c:v>31dc9a7ab1e4d4612bdaf0e2738743d8249dd2a8c694e94911c68de321218e14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Graphs!$B$2:$J$2</c:f>
              <c:strCach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strCache>
            </c:strRef>
          </c:cat>
          <c:val>
            <c:numRef>
              <c:f>Graphs!$B$7:$J$7</c:f>
              <c:numCache>
                <c:formatCode>General</c:formatCode>
                <c:ptCount val="9"/>
                <c:pt idx="0">
                  <c:v>3.5151636769999999</c:v>
                </c:pt>
                <c:pt idx="1">
                  <c:v>4.4862471370000003</c:v>
                </c:pt>
                <c:pt idx="2">
                  <c:v>1.486169748</c:v>
                </c:pt>
                <c:pt idx="3">
                  <c:v>1.363510169</c:v>
                </c:pt>
                <c:pt idx="4">
                  <c:v>3.535260901</c:v>
                </c:pt>
                <c:pt idx="5">
                  <c:v>3.5224217279999999</c:v>
                </c:pt>
                <c:pt idx="6">
                  <c:v>2.8510209949999998</c:v>
                </c:pt>
                <c:pt idx="7">
                  <c:v>2.2985379830000001</c:v>
                </c:pt>
                <c:pt idx="8">
                  <c:v>4.3910211370000001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861-477E-AC13-33A5F978FBFF}"/>
            </c:ext>
          </c:extLst>
        </c:ser>
        <c:ser>
          <c:idx val="5"/>
          <c:order val="5"/>
          <c:tx>
            <c:strRef>
              <c:f>Graphs!$A$8</c:f>
              <c:strCache>
                <c:ptCount val="1"/>
                <c:pt idx="0">
                  <c:v>cc16d76232e5a5ec88990779fb25161754f2fcae1be1817d9b06db6ed01a0252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Graphs!$B$2:$J$2</c:f>
              <c:strCach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strCache>
            </c:strRef>
          </c:cat>
          <c:val>
            <c:numRef>
              <c:f>Graphs!$B$8:$J$8</c:f>
              <c:numCache>
                <c:formatCode>General</c:formatCode>
                <c:ptCount val="9"/>
                <c:pt idx="0">
                  <c:v>4.972816828</c:v>
                </c:pt>
                <c:pt idx="1">
                  <c:v>3.804953121</c:v>
                </c:pt>
                <c:pt idx="2">
                  <c:v>7.6249440740000001</c:v>
                </c:pt>
                <c:pt idx="3">
                  <c:v>7.7130149899999996</c:v>
                </c:pt>
                <c:pt idx="4">
                  <c:v>6.2291926389999999</c:v>
                </c:pt>
                <c:pt idx="5">
                  <c:v>4.9568516220000003</c:v>
                </c:pt>
                <c:pt idx="6">
                  <c:v>7.0137946170000003</c:v>
                </c:pt>
                <c:pt idx="7">
                  <c:v>9.9947308009999993</c:v>
                </c:pt>
                <c:pt idx="8">
                  <c:v>3.688066869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861-477E-AC13-33A5F978FBFF}"/>
            </c:ext>
          </c:extLst>
        </c:ser>
        <c:ser>
          <c:idx val="6"/>
          <c:order val="6"/>
          <c:tx>
            <c:strRef>
              <c:f>Graphs!$A$9</c:f>
              <c:strCache>
                <c:ptCount val="1"/>
                <c:pt idx="0">
                  <c:v>6495f98496f9faa9acbcdcf4e6d7f54f0fc9d6989ccd6cbe8d514c709be1ae47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Graphs!$B$2:$J$2</c:f>
              <c:strCach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strCache>
            </c:strRef>
          </c:cat>
          <c:val>
            <c:numRef>
              <c:f>Graphs!$B$9:$J$9</c:f>
              <c:numCache>
                <c:formatCode>General</c:formatCode>
                <c:ptCount val="9"/>
                <c:pt idx="0">
                  <c:v>7.4614273600000001</c:v>
                </c:pt>
                <c:pt idx="1">
                  <c:v>10.92378373</c:v>
                </c:pt>
                <c:pt idx="2">
                  <c:v>7.1545811050000001</c:v>
                </c:pt>
                <c:pt idx="3">
                  <c:v>9.0450020109999993</c:v>
                </c:pt>
                <c:pt idx="4">
                  <c:v>4.1600030739999996</c:v>
                </c:pt>
                <c:pt idx="5">
                  <c:v>8.0067124379999992</c:v>
                </c:pt>
                <c:pt idx="6">
                  <c:v>4.6851751720000001</c:v>
                </c:pt>
                <c:pt idx="7">
                  <c:v>7.2636942820000003</c:v>
                </c:pt>
                <c:pt idx="8">
                  <c:v>4.8217605499999996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861-477E-AC13-33A5F978FBFF}"/>
            </c:ext>
          </c:extLst>
        </c:ser>
        <c:ser>
          <c:idx val="7"/>
          <c:order val="7"/>
          <c:tx>
            <c:strRef>
              <c:f>Graphs!$A$10</c:f>
              <c:strCache>
                <c:ptCount val="1"/>
                <c:pt idx="0">
                  <c:v>a0a4a0a999bb3c4c42ab65d8be5cc30bd395809ee6deffe8ff8849786856012c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Graphs!$B$2:$J$2</c:f>
              <c:strCach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strCache>
            </c:strRef>
          </c:cat>
          <c:val>
            <c:numRef>
              <c:f>Graphs!$B$10:$J$10</c:f>
              <c:numCache>
                <c:formatCode>General</c:formatCode>
                <c:ptCount val="9"/>
                <c:pt idx="0">
                  <c:v>13.60115461</c:v>
                </c:pt>
                <c:pt idx="1">
                  <c:v>12.48527996</c:v>
                </c:pt>
                <c:pt idx="2">
                  <c:v>8.0971607760000008</c:v>
                </c:pt>
                <c:pt idx="3">
                  <c:v>9.1003596669999993</c:v>
                </c:pt>
                <c:pt idx="4">
                  <c:v>9.6579611950000004</c:v>
                </c:pt>
                <c:pt idx="5">
                  <c:v>7.5895090200000004</c:v>
                </c:pt>
                <c:pt idx="6">
                  <c:v>7.7401406179999999</c:v>
                </c:pt>
                <c:pt idx="7">
                  <c:v>8.0109913460000008</c:v>
                </c:pt>
                <c:pt idx="8">
                  <c:v>9.7207106089999993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861-477E-AC13-33A5F978FBFF}"/>
            </c:ext>
          </c:extLst>
        </c:ser>
        <c:ser>
          <c:idx val="8"/>
          <c:order val="8"/>
          <c:tx>
            <c:strRef>
              <c:f>Graphs!$A$11</c:f>
              <c:strCache>
                <c:ptCount val="1"/>
                <c:pt idx="0">
                  <c:v>7f3b0e32ea2b17f7a0962be43fa129208723a474d1511b5ff8a21ed8c63aca65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Graphs!$B$2:$J$2</c:f>
              <c:strCach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strCache>
            </c:strRef>
          </c:cat>
          <c:val>
            <c:numRef>
              <c:f>Graphs!$B$11:$J$11</c:f>
              <c:numCache>
                <c:formatCode>General</c:formatCode>
                <c:ptCount val="9"/>
                <c:pt idx="0">
                  <c:v>5.0645134179999998</c:v>
                </c:pt>
                <c:pt idx="1">
                  <c:v>4.9437103660000004</c:v>
                </c:pt>
                <c:pt idx="2">
                  <c:v>7.8400076160000003</c:v>
                </c:pt>
                <c:pt idx="3">
                  <c:v>9.0140864730000008</c:v>
                </c:pt>
                <c:pt idx="4">
                  <c:v>6.4631927449999997</c:v>
                </c:pt>
                <c:pt idx="5">
                  <c:v>5.747503397</c:v>
                </c:pt>
                <c:pt idx="6">
                  <c:v>6.3928427750000001</c:v>
                </c:pt>
                <c:pt idx="7">
                  <c:v>3.9129451089999998</c:v>
                </c:pt>
                <c:pt idx="8">
                  <c:v>3.702190818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861-477E-AC13-33A5F978FBFF}"/>
            </c:ext>
          </c:extLst>
        </c:ser>
        <c:ser>
          <c:idx val="9"/>
          <c:order val="9"/>
          <c:tx>
            <c:strRef>
              <c:f>Graphs!$A$12</c:f>
              <c:strCache>
                <c:ptCount val="1"/>
                <c:pt idx="0">
                  <c:v>6f5b156caaebfa4130a64c596e5794c2e55be72403d2ceb5c236b43d6cf082d1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Graphs!$B$2:$J$2</c:f>
              <c:strCach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strCache>
            </c:strRef>
          </c:cat>
          <c:val>
            <c:numRef>
              <c:f>Graphs!$B$12:$J$12</c:f>
              <c:numCache>
                <c:formatCode>General</c:formatCode>
                <c:ptCount val="9"/>
                <c:pt idx="0">
                  <c:v>3.5935724740000001</c:v>
                </c:pt>
                <c:pt idx="1">
                  <c:v>2.6608128400000002</c:v>
                </c:pt>
                <c:pt idx="2">
                  <c:v>3.2408390850000002</c:v>
                </c:pt>
                <c:pt idx="3">
                  <c:v>4.0361444290000001</c:v>
                </c:pt>
                <c:pt idx="4">
                  <c:v>4.4091368109999998</c:v>
                </c:pt>
                <c:pt idx="5">
                  <c:v>2.9217210100000002</c:v>
                </c:pt>
                <c:pt idx="6">
                  <c:v>3.132603579</c:v>
                </c:pt>
                <c:pt idx="7">
                  <c:v>6.0853783809999999</c:v>
                </c:pt>
                <c:pt idx="8">
                  <c:v>5.6636188269999996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861-477E-AC13-33A5F978FBFF}"/>
            </c:ext>
          </c:extLst>
        </c:ser>
        <c:ser>
          <c:idx val="10"/>
          <c:order val="10"/>
          <c:tx>
            <c:strRef>
              <c:f>Graphs!$A$13</c:f>
              <c:strCache>
                <c:ptCount val="1"/>
                <c:pt idx="0">
                  <c:v>6aa02f42db10b522f763f840e9e8a0bcb461f6f2f570d596a768a59dbfd88113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Graphs!$B$2:$J$2</c:f>
              <c:strCach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strCache>
            </c:strRef>
          </c:cat>
          <c:val>
            <c:numRef>
              <c:f>Graphs!$B$13:$J$13</c:f>
              <c:numCache>
                <c:formatCode>General</c:formatCode>
                <c:ptCount val="9"/>
                <c:pt idx="0">
                  <c:v>2.9964523870000002</c:v>
                </c:pt>
                <c:pt idx="1">
                  <c:v>5.5302329290000003</c:v>
                </c:pt>
                <c:pt idx="2">
                  <c:v>5.4020733280000002</c:v>
                </c:pt>
                <c:pt idx="3">
                  <c:v>3.0076944600000002</c:v>
                </c:pt>
                <c:pt idx="4">
                  <c:v>3.571360527</c:v>
                </c:pt>
                <c:pt idx="5">
                  <c:v>3.249306931</c:v>
                </c:pt>
                <c:pt idx="6">
                  <c:v>1.7463989719999999</c:v>
                </c:pt>
                <c:pt idx="7">
                  <c:v>9.1793924130000004</c:v>
                </c:pt>
                <c:pt idx="8">
                  <c:v>1.7413440120000001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861-477E-AC13-33A5F978FBFF}"/>
            </c:ext>
          </c:extLst>
        </c:ser>
        <c:ser>
          <c:idx val="11"/>
          <c:order val="11"/>
          <c:tx>
            <c:strRef>
              <c:f>Graphs!$A$14</c:f>
              <c:strCache>
                <c:ptCount val="1"/>
                <c:pt idx="0">
                  <c:v>f3cc524e5f2cc476c53eea535c2fc45073cef06fbd25ecd7e5fe92d8b87b3d29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Graphs!$B$2:$J$2</c:f>
              <c:strCach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strCache>
            </c:strRef>
          </c:cat>
          <c:val>
            <c:numRef>
              <c:f>Graphs!$B$14:$J$14</c:f>
              <c:numCache>
                <c:formatCode>General</c:formatCode>
                <c:ptCount val="9"/>
                <c:pt idx="0">
                  <c:v>4.0426866969999997</c:v>
                </c:pt>
                <c:pt idx="1">
                  <c:v>4.8664888739999999</c:v>
                </c:pt>
                <c:pt idx="2">
                  <c:v>3.1202477000000002</c:v>
                </c:pt>
                <c:pt idx="3">
                  <c:v>6.2967994960000002</c:v>
                </c:pt>
                <c:pt idx="4">
                  <c:v>6.7149011969999997</c:v>
                </c:pt>
                <c:pt idx="5">
                  <c:v>4.2320072700000004</c:v>
                </c:pt>
                <c:pt idx="6">
                  <c:v>1.4793517279999999</c:v>
                </c:pt>
                <c:pt idx="7">
                  <c:v>4.1640665429999997</c:v>
                </c:pt>
                <c:pt idx="8">
                  <c:v>3.1298040619999998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861-477E-AC13-33A5F978F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1843855"/>
        <c:axId val="521844335"/>
      </c:lineChart>
      <c:catAx>
        <c:axId val="521843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844335"/>
        <c:crosses val="autoZero"/>
        <c:auto val="1"/>
        <c:lblAlgn val="ctr"/>
        <c:lblOffset val="100"/>
        <c:noMultiLvlLbl val="0"/>
      </c:catAx>
      <c:valAx>
        <c:axId val="52184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843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R-Squared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Graphs!$A$31</c:f>
              <c:strCache>
                <c:ptCount val="1"/>
                <c:pt idx="0">
                  <c:v>428da1312b4e9e175c8da20472e82f346f19060102702e896cd2ed510d1f82d3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Graphs!$B$31</c:f>
              <c:numCache>
                <c:formatCode>0.00</c:formatCode>
                <c:ptCount val="1"/>
                <c:pt idx="0">
                  <c:v>0.12240314049689069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B4E-4E7A-A363-42D1C5553749}"/>
            </c:ext>
          </c:extLst>
        </c:ser>
        <c:ser>
          <c:idx val="1"/>
          <c:order val="1"/>
          <c:tx>
            <c:strRef>
              <c:f>Graphs!$A$32</c:f>
              <c:strCache>
                <c:ptCount val="1"/>
                <c:pt idx="0">
                  <c:v>b96c0907522c2773f70c3772a20a66ed27faa11b69222bb914593d8c048e550f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Graphs!$B$32</c:f>
              <c:numCache>
                <c:formatCode>0.00</c:formatCode>
                <c:ptCount val="1"/>
                <c:pt idx="0">
                  <c:v>9.5834560568402484E-4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B4E-4E7A-A363-42D1C5553749}"/>
            </c:ext>
          </c:extLst>
        </c:ser>
        <c:ser>
          <c:idx val="2"/>
          <c:order val="2"/>
          <c:tx>
            <c:strRef>
              <c:f>Graphs!$A$33</c:f>
              <c:strCache>
                <c:ptCount val="1"/>
                <c:pt idx="0">
                  <c:v>91c19dd683a61988ab47f9523ac0c69189fc5bf0bc129535df465e67ceaa3f5c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Graphs!$B$33</c:f>
              <c:numCache>
                <c:formatCode>0.00</c:formatCode>
                <c:ptCount val="1"/>
                <c:pt idx="0">
                  <c:v>2.6480823810346851E-3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B4E-4E7A-A363-42D1C5553749}"/>
            </c:ext>
          </c:extLst>
        </c:ser>
        <c:ser>
          <c:idx val="3"/>
          <c:order val="3"/>
          <c:tx>
            <c:strRef>
              <c:f>Graphs!$A$34</c:f>
              <c:strCache>
                <c:ptCount val="1"/>
                <c:pt idx="0">
                  <c:v>a77913344f83d12ba672562908a45473f0d39decfb73132ce324137df5880dca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Graphs!$B$34</c:f>
              <c:numCache>
                <c:formatCode>0.00</c:formatCode>
                <c:ptCount val="1"/>
                <c:pt idx="0">
                  <c:v>4.5007168241325217E-2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B4E-4E7A-A363-42D1C5553749}"/>
            </c:ext>
          </c:extLst>
        </c:ser>
        <c:ser>
          <c:idx val="4"/>
          <c:order val="4"/>
          <c:tx>
            <c:strRef>
              <c:f>Graphs!$A$35</c:f>
              <c:strCache>
                <c:ptCount val="1"/>
                <c:pt idx="0">
                  <c:v>31dc9a7ab1e4d4612bdaf0e2738743d8249dd2a8c694e94911c68de321218e14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Graphs!$B$35</c:f>
              <c:numCache>
                <c:formatCode>0.00</c:formatCode>
                <c:ptCount val="1"/>
                <c:pt idx="0">
                  <c:v>5.3449103292046172E-3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B4E-4E7A-A363-42D1C5553749}"/>
            </c:ext>
          </c:extLst>
        </c:ser>
        <c:ser>
          <c:idx val="5"/>
          <c:order val="5"/>
          <c:tx>
            <c:strRef>
              <c:f>Graphs!$A$36</c:f>
              <c:strCache>
                <c:ptCount val="1"/>
                <c:pt idx="0">
                  <c:v>cc16d76232e5a5ec88990779fb25161754f2fcae1be1817d9b06db6ed01a0252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Graphs!$B$36</c:f>
              <c:numCache>
                <c:formatCode>0.00</c:formatCode>
                <c:ptCount val="1"/>
                <c:pt idx="0">
                  <c:v>4.3188610821171203E-2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B4E-4E7A-A363-42D1C5553749}"/>
            </c:ext>
          </c:extLst>
        </c:ser>
        <c:ser>
          <c:idx val="6"/>
          <c:order val="6"/>
          <c:tx>
            <c:strRef>
              <c:f>Graphs!$A$37</c:f>
              <c:strCache>
                <c:ptCount val="1"/>
                <c:pt idx="0">
                  <c:v>6495f98496f9faa9acbcdcf4e6d7f54f0fc9d6989ccd6cbe8d514c709be1ae47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Graphs!$B$37</c:f>
              <c:numCache>
                <c:formatCode>0.00</c:formatCode>
                <c:ptCount val="1"/>
                <c:pt idx="0">
                  <c:v>0.32325944405042567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B4E-4E7A-A363-42D1C5553749}"/>
            </c:ext>
          </c:extLst>
        </c:ser>
        <c:ser>
          <c:idx val="7"/>
          <c:order val="7"/>
          <c:tx>
            <c:strRef>
              <c:f>Graphs!$A$38</c:f>
              <c:strCache>
                <c:ptCount val="1"/>
                <c:pt idx="0">
                  <c:v>a0a4a0a999bb3c4c42ab65d8be5cc30bd395809ee6deffe8ff8849786856012c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Graphs!$B$38</c:f>
              <c:numCache>
                <c:formatCode>0.00</c:formatCode>
                <c:ptCount val="1"/>
                <c:pt idx="0">
                  <c:v>0.43918802892931852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FB4E-4E7A-A363-42D1C5553749}"/>
            </c:ext>
          </c:extLst>
        </c:ser>
        <c:ser>
          <c:idx val="8"/>
          <c:order val="8"/>
          <c:tx>
            <c:strRef>
              <c:f>Graphs!$A$39</c:f>
              <c:strCache>
                <c:ptCount val="1"/>
                <c:pt idx="0">
                  <c:v>7f3b0e32ea2b17f7a0962be43fa129208723a474d1511b5ff8a21ed8c63aca65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Graphs!$B$39</c:f>
              <c:numCache>
                <c:formatCode>0.00</c:formatCode>
                <c:ptCount val="1"/>
                <c:pt idx="0">
                  <c:v>0.14743669250963681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B4E-4E7A-A363-42D1C5553749}"/>
            </c:ext>
          </c:extLst>
        </c:ser>
        <c:ser>
          <c:idx val="9"/>
          <c:order val="9"/>
          <c:tx>
            <c:strRef>
              <c:f>Graphs!$A$40</c:f>
              <c:strCache>
                <c:ptCount val="1"/>
                <c:pt idx="0">
                  <c:v>6f5b156caaebfa4130a64c596e5794c2e55be72403d2ceb5c236b43d6cf082d1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Graphs!$B$40</c:f>
              <c:numCache>
                <c:formatCode>0.00</c:formatCode>
                <c:ptCount val="1"/>
                <c:pt idx="0">
                  <c:v>0.42154895340929199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B4E-4E7A-A363-42D1C5553749}"/>
            </c:ext>
          </c:extLst>
        </c:ser>
        <c:ser>
          <c:idx val="10"/>
          <c:order val="10"/>
          <c:tx>
            <c:strRef>
              <c:f>Graphs!$A$41</c:f>
              <c:strCache>
                <c:ptCount val="1"/>
                <c:pt idx="0">
                  <c:v>6aa02f42db10b522f763f840e9e8a0bcb461f6f2f570d596a768a59dbfd88113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Graphs!$B$41</c:f>
              <c:numCache>
                <c:formatCode>0.00</c:formatCode>
                <c:ptCount val="1"/>
                <c:pt idx="0">
                  <c:v>4.9423107613730808E-4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B4E-4E7A-A363-42D1C5553749}"/>
            </c:ext>
          </c:extLst>
        </c:ser>
        <c:ser>
          <c:idx val="11"/>
          <c:order val="11"/>
          <c:tx>
            <c:strRef>
              <c:f>Graphs!$A$42</c:f>
              <c:strCache>
                <c:ptCount val="1"/>
                <c:pt idx="0">
                  <c:v>f3cc524e5f2cc476c53eea535c2fc45073cef06fbd25ecd7e5fe92d8b87b3d29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Graphs!$B$42</c:f>
              <c:numCache>
                <c:formatCode>0.00</c:formatCode>
                <c:ptCount val="1"/>
                <c:pt idx="0">
                  <c:v>9.8353898615579347E-2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FB4E-4E7A-A363-42D1C5553749}"/>
            </c:ext>
          </c:extLst>
        </c:ser>
        <c:ser>
          <c:idx val="12"/>
          <c:order val="12"/>
          <c:tx>
            <c:strRef>
              <c:f>Graphs!$A$43</c:f>
              <c:strCache>
                <c:ptCount val="1"/>
                <c:pt idx="0">
                  <c:v>Ave RSQ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Graphs!$B$43</c:f>
              <c:numCache>
                <c:formatCode>0.00</c:formatCode>
                <c:ptCount val="1"/>
                <c:pt idx="0">
                  <c:v>0.13748595887214168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B4E-4E7A-A363-42D1C55537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6636831"/>
        <c:axId val="516637791"/>
      </c:barChart>
      <c:catAx>
        <c:axId val="51663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637791"/>
        <c:crosses val="autoZero"/>
        <c:auto val="1"/>
        <c:lblAlgn val="ctr"/>
        <c:lblOffset val="100"/>
        <c:noMultiLvlLbl val="0"/>
      </c:catAx>
      <c:valAx>
        <c:axId val="51663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636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Relative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Graphs!$A$61</c:f>
              <c:strCache>
                <c:ptCount val="1"/>
                <c:pt idx="0">
                  <c:v>428da1312b4e9e175c8da20472e82f346f19060102702e896cd2ed510d1f82d3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Graphs!$B$61</c:f>
              <c:numCache>
                <c:formatCode>General</c:formatCode>
                <c:ptCount val="1"/>
                <c:pt idx="0">
                  <c:v>0.27959585590891073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E11-4CF4-B81E-4FD0F9290A38}"/>
            </c:ext>
          </c:extLst>
        </c:ser>
        <c:ser>
          <c:idx val="1"/>
          <c:order val="1"/>
          <c:tx>
            <c:strRef>
              <c:f>Graphs!$A$62</c:f>
              <c:strCache>
                <c:ptCount val="1"/>
                <c:pt idx="0">
                  <c:v>b96c0907522c2773f70c3772a20a66ed27faa11b69222bb914593d8c048e550f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Graphs!$B$62</c:f>
              <c:numCache>
                <c:formatCode>General</c:formatCode>
                <c:ptCount val="1"/>
                <c:pt idx="0">
                  <c:v>0.15023095610704335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E11-4CF4-B81E-4FD0F9290A38}"/>
            </c:ext>
          </c:extLst>
        </c:ser>
        <c:ser>
          <c:idx val="2"/>
          <c:order val="2"/>
          <c:tx>
            <c:strRef>
              <c:f>Graphs!$A$63</c:f>
              <c:strCache>
                <c:ptCount val="1"/>
                <c:pt idx="0">
                  <c:v>91c19dd683a61988ab47f9523ac0c69189fc5bf0bc129535df465e67ceaa3f5c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Graphs!$B$63</c:f>
              <c:numCache>
                <c:formatCode>General</c:formatCode>
                <c:ptCount val="1"/>
                <c:pt idx="0">
                  <c:v>4.6283563774989572E-2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E11-4CF4-B81E-4FD0F9290A38}"/>
            </c:ext>
          </c:extLst>
        </c:ser>
        <c:ser>
          <c:idx val="3"/>
          <c:order val="3"/>
          <c:tx>
            <c:strRef>
              <c:f>Graphs!$A$64</c:f>
              <c:strCache>
                <c:ptCount val="1"/>
                <c:pt idx="0">
                  <c:v>a77913344f83d12ba672562908a45473f0d39decfb73132ce324137df5880dca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Graphs!$B$64</c:f>
              <c:numCache>
                <c:formatCode>General</c:formatCode>
                <c:ptCount val="1"/>
                <c:pt idx="0">
                  <c:v>5.275691762495828E-2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E11-4CF4-B81E-4FD0F9290A38}"/>
            </c:ext>
          </c:extLst>
        </c:ser>
        <c:ser>
          <c:idx val="4"/>
          <c:order val="4"/>
          <c:tx>
            <c:strRef>
              <c:f>Graphs!$A$65</c:f>
              <c:strCache>
                <c:ptCount val="1"/>
                <c:pt idx="0">
                  <c:v>31dc9a7ab1e4d4612bdaf0e2738743d8249dd2a8c694e94911c68de321218e14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Graphs!$B$65</c:f>
              <c:numCache>
                <c:formatCode>General</c:formatCode>
                <c:ptCount val="1"/>
                <c:pt idx="0">
                  <c:v>0.20501109144977561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E11-4CF4-B81E-4FD0F9290A38}"/>
            </c:ext>
          </c:extLst>
        </c:ser>
        <c:ser>
          <c:idx val="5"/>
          <c:order val="5"/>
          <c:tx>
            <c:strRef>
              <c:f>Graphs!$A$66</c:f>
              <c:strCache>
                <c:ptCount val="1"/>
                <c:pt idx="0">
                  <c:v>cc16d76232e5a5ec88990779fb25161754f2fcae1be1817d9b06db6ed01a0252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Graphs!$B$66</c:f>
              <c:numCache>
                <c:formatCode>General</c:formatCode>
                <c:ptCount val="1"/>
                <c:pt idx="0">
                  <c:v>7.4125083025521274E-2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E11-4CF4-B81E-4FD0F9290A38}"/>
            </c:ext>
          </c:extLst>
        </c:ser>
        <c:ser>
          <c:idx val="6"/>
          <c:order val="6"/>
          <c:tx>
            <c:strRef>
              <c:f>Graphs!$A$67</c:f>
              <c:strCache>
                <c:ptCount val="1"/>
                <c:pt idx="0">
                  <c:v>6495f98496f9faa9acbcdcf4e6d7f54f0fc9d6989ccd6cbe8d514c709be1ae47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Graphs!$B$67</c:f>
              <c:numCache>
                <c:formatCode>General</c:formatCode>
                <c:ptCount val="1"/>
                <c:pt idx="0">
                  <c:v>7.0894399882655432E-2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E11-4CF4-B81E-4FD0F9290A38}"/>
            </c:ext>
          </c:extLst>
        </c:ser>
        <c:ser>
          <c:idx val="7"/>
          <c:order val="7"/>
          <c:tx>
            <c:strRef>
              <c:f>Graphs!$A$68</c:f>
              <c:strCache>
                <c:ptCount val="1"/>
                <c:pt idx="0">
                  <c:v>a0a4a0a999bb3c4c42ab65d8be5cc30bd395809ee6deffe8ff8849786856012c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Graphs!$B$68</c:f>
              <c:numCache>
                <c:formatCode>General</c:formatCode>
                <c:ptCount val="1"/>
                <c:pt idx="0">
                  <c:v>-2.4280888221271058E-2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E11-4CF4-B81E-4FD0F9290A38}"/>
            </c:ext>
          </c:extLst>
        </c:ser>
        <c:ser>
          <c:idx val="8"/>
          <c:order val="8"/>
          <c:tx>
            <c:strRef>
              <c:f>Graphs!$A$69</c:f>
              <c:strCache>
                <c:ptCount val="1"/>
                <c:pt idx="0">
                  <c:v>7f3b0e32ea2b17f7a0962be43fa129208723a474d1511b5ff8a21ed8c63aca65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Graphs!$B$69</c:f>
              <c:numCache>
                <c:formatCode>General</c:formatCode>
                <c:ptCount val="1"/>
                <c:pt idx="0">
                  <c:v>-1.4328502114760409E-3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E11-4CF4-B81E-4FD0F9290A38}"/>
            </c:ext>
          </c:extLst>
        </c:ser>
        <c:ser>
          <c:idx val="9"/>
          <c:order val="9"/>
          <c:tx>
            <c:strRef>
              <c:f>Graphs!$A$70</c:f>
              <c:strCache>
                <c:ptCount val="1"/>
                <c:pt idx="0">
                  <c:v>6f5b156caaebfa4130a64c596e5794c2e55be72403d2ceb5c236b43d6cf082d1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Graphs!$B$70</c:f>
              <c:numCache>
                <c:formatCode>General</c:formatCode>
                <c:ptCount val="1"/>
                <c:pt idx="0">
                  <c:v>0.1130444448973483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E11-4CF4-B81E-4FD0F9290A38}"/>
            </c:ext>
          </c:extLst>
        </c:ser>
        <c:ser>
          <c:idx val="10"/>
          <c:order val="10"/>
          <c:tx>
            <c:strRef>
              <c:f>Graphs!$A$71</c:f>
              <c:strCache>
                <c:ptCount val="1"/>
                <c:pt idx="0">
                  <c:v>6aa02f42db10b522f763f840e9e8a0bcb461f6f2f570d596a768a59dbfd88113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Graphs!$B$71</c:f>
              <c:numCache>
                <c:formatCode>General</c:formatCode>
                <c:ptCount val="1"/>
                <c:pt idx="0">
                  <c:v>0.43247119682027096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E11-4CF4-B81E-4FD0F9290A38}"/>
            </c:ext>
          </c:extLst>
        </c:ser>
        <c:ser>
          <c:idx val="11"/>
          <c:order val="11"/>
          <c:tx>
            <c:strRef>
              <c:f>Graphs!$A$72</c:f>
              <c:strCache>
                <c:ptCount val="1"/>
                <c:pt idx="0">
                  <c:v>f3cc524e5f2cc476c53eea535c2fc45073cef06fbd25ecd7e5fe92d8b87b3d29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Graphs!$B$72</c:f>
              <c:numCache>
                <c:formatCode>General</c:formatCode>
                <c:ptCount val="1"/>
                <c:pt idx="0">
                  <c:v>0.18445090339193501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E11-4CF4-B81E-4FD0F9290A38}"/>
            </c:ext>
          </c:extLst>
        </c:ser>
        <c:ser>
          <c:idx val="12"/>
          <c:order val="12"/>
          <c:tx>
            <c:strRef>
              <c:f>Graphs!$A$73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Graphs!$B$73</c:f>
              <c:numCache>
                <c:formatCode>General</c:formatCode>
                <c:ptCount val="1"/>
                <c:pt idx="0">
                  <c:v>0.13192922287088846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1-4CF4-B81E-4FD0F9290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3705264"/>
        <c:axId val="1023706224"/>
      </c:barChart>
      <c:catAx>
        <c:axId val="1023705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23706224"/>
        <c:crosses val="autoZero"/>
        <c:auto val="1"/>
        <c:lblAlgn val="ctr"/>
        <c:lblOffset val="100"/>
        <c:noMultiLvlLbl val="0"/>
      </c:catAx>
      <c:valAx>
        <c:axId val="102370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70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Relative Change Over Timesteps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Graphs!$A$92</c:f>
              <c:strCache>
                <c:ptCount val="1"/>
                <c:pt idx="0">
                  <c:v>428da1312b4e9e175c8da20472e82f346f19060102702e896cd2ed510d1f82d3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Graphs!$B$91:$I$91</c:f>
              <c:strCache>
                <c:ptCount val="8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</c:strCache>
            </c:strRef>
          </c:xVal>
          <c:yVal>
            <c:numRef>
              <c:f>Graphs!$B$92:$I$92</c:f>
              <c:numCache>
                <c:formatCode>General</c:formatCode>
                <c:ptCount val="8"/>
                <c:pt idx="0">
                  <c:v>-0.52692211743936967</c:v>
                </c:pt>
                <c:pt idx="1">
                  <c:v>2.5449683300943082</c:v>
                </c:pt>
                <c:pt idx="2">
                  <c:v>-0.56813601346900067</c:v>
                </c:pt>
                <c:pt idx="3">
                  <c:v>0.37370450393739624</c:v>
                </c:pt>
                <c:pt idx="4">
                  <c:v>-0.11860676260438571</c:v>
                </c:pt>
                <c:pt idx="5">
                  <c:v>7.8697959024729272E-2</c:v>
                </c:pt>
                <c:pt idx="6">
                  <c:v>0.66811740780388029</c:v>
                </c:pt>
                <c:pt idx="7">
                  <c:v>-0.21505646007627235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B8-4E4B-9F8B-0FDA3282AFB2}"/>
            </c:ext>
          </c:extLst>
        </c:ser>
        <c:ser>
          <c:idx val="1"/>
          <c:order val="1"/>
          <c:tx>
            <c:strRef>
              <c:f>Graphs!$A$93</c:f>
              <c:strCache>
                <c:ptCount val="1"/>
                <c:pt idx="0">
                  <c:v>b96c0907522c2773f70c3772a20a66ed27faa11b69222bb914593d8c048e550f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Graphs!$B$91:$I$91</c:f>
              <c:strCache>
                <c:ptCount val="8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</c:strCache>
            </c:strRef>
          </c:xVal>
          <c:yVal>
            <c:numRef>
              <c:f>Graphs!$B$93:$I$93</c:f>
              <c:numCache>
                <c:formatCode>General</c:formatCode>
                <c:ptCount val="8"/>
                <c:pt idx="0">
                  <c:v>-0.34916960337641734</c:v>
                </c:pt>
                <c:pt idx="1">
                  <c:v>0.78493282943567255</c:v>
                </c:pt>
                <c:pt idx="2">
                  <c:v>-0.52547934575411115</c:v>
                </c:pt>
                <c:pt idx="3">
                  <c:v>1.5111387239299943</c:v>
                </c:pt>
                <c:pt idx="4">
                  <c:v>-0.26863177691210355</c:v>
                </c:pt>
                <c:pt idx="5">
                  <c:v>-0.30769806348032369</c:v>
                </c:pt>
                <c:pt idx="6">
                  <c:v>0.78621308989132643</c:v>
                </c:pt>
                <c:pt idx="7">
                  <c:v>-0.4294582048776906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B8-4E4B-9F8B-0FDA3282AFB2}"/>
            </c:ext>
          </c:extLst>
        </c:ser>
        <c:ser>
          <c:idx val="2"/>
          <c:order val="2"/>
          <c:tx>
            <c:strRef>
              <c:f>Graphs!$A$94</c:f>
              <c:strCache>
                <c:ptCount val="1"/>
                <c:pt idx="0">
                  <c:v>91c19dd683a61988ab47f9523ac0c69189fc5bf0bc129535df465e67ceaa3f5c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Graphs!$B$91:$I$91</c:f>
              <c:strCache>
                <c:ptCount val="8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</c:strCache>
            </c:strRef>
          </c:xVal>
          <c:yVal>
            <c:numRef>
              <c:f>Graphs!$B$94:$I$94</c:f>
              <c:numCache>
                <c:formatCode>General</c:formatCode>
                <c:ptCount val="8"/>
                <c:pt idx="0">
                  <c:v>0.27026137022245861</c:v>
                </c:pt>
                <c:pt idx="1">
                  <c:v>-1.9288685332565031E-2</c:v>
                </c:pt>
                <c:pt idx="2">
                  <c:v>0.27024449399462097</c:v>
                </c:pt>
                <c:pt idx="3">
                  <c:v>-0.33887525742888991</c:v>
                </c:pt>
                <c:pt idx="4">
                  <c:v>-5.4288939791973634E-2</c:v>
                </c:pt>
                <c:pt idx="5">
                  <c:v>0.58231053671186428</c:v>
                </c:pt>
                <c:pt idx="6">
                  <c:v>-0.2090676191768239</c:v>
                </c:pt>
                <c:pt idx="7">
                  <c:v>-0.13102738899877472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B8-4E4B-9F8B-0FDA3282AFB2}"/>
            </c:ext>
          </c:extLst>
        </c:ser>
        <c:ser>
          <c:idx val="3"/>
          <c:order val="3"/>
          <c:tx>
            <c:strRef>
              <c:f>Graphs!$A$95</c:f>
              <c:strCache>
                <c:ptCount val="1"/>
                <c:pt idx="0">
                  <c:v>a77913344f83d12ba672562908a45473f0d39decfb73132ce324137df5880dca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Graphs!$B$91:$I$91</c:f>
              <c:strCache>
                <c:ptCount val="8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</c:strCache>
            </c:strRef>
          </c:xVal>
          <c:yVal>
            <c:numRef>
              <c:f>Graphs!$B$95:$I$95</c:f>
              <c:numCache>
                <c:formatCode>General</c:formatCode>
                <c:ptCount val="8"/>
                <c:pt idx="0">
                  <c:v>-5.9344884706120669E-2</c:v>
                </c:pt>
                <c:pt idx="1">
                  <c:v>1.0766520920132845</c:v>
                </c:pt>
                <c:pt idx="2">
                  <c:v>-0.32798790295093555</c:v>
                </c:pt>
                <c:pt idx="3">
                  <c:v>-0.28653106271047174</c:v>
                </c:pt>
                <c:pt idx="4">
                  <c:v>4.1831762644666551E-2</c:v>
                </c:pt>
                <c:pt idx="5">
                  <c:v>1.04304111640796</c:v>
                </c:pt>
                <c:pt idx="6">
                  <c:v>-0.500317103860764</c:v>
                </c:pt>
                <c:pt idx="7">
                  <c:v>-0.56528867583795273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B8-4E4B-9F8B-0FDA3282AFB2}"/>
            </c:ext>
          </c:extLst>
        </c:ser>
        <c:ser>
          <c:idx val="4"/>
          <c:order val="4"/>
          <c:tx>
            <c:strRef>
              <c:f>Graphs!$A$96</c:f>
              <c:strCache>
                <c:ptCount val="1"/>
                <c:pt idx="0">
                  <c:v>31dc9a7ab1e4d4612bdaf0e2738743d8249dd2a8c694e94911c68de321218e14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Graphs!$B$91:$I$91</c:f>
              <c:strCache>
                <c:ptCount val="8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</c:strCache>
            </c:strRef>
          </c:xVal>
          <c:yVal>
            <c:numRef>
              <c:f>Graphs!$B$96:$I$96</c:f>
              <c:numCache>
                <c:formatCode>General</c:formatCode>
                <c:ptCount val="8"/>
                <c:pt idx="0">
                  <c:v>0.27625554575278471</c:v>
                </c:pt>
                <c:pt idx="1">
                  <c:v>-0.66872762408853448</c:v>
                </c:pt>
                <c:pt idx="2">
                  <c:v>-8.2534030291672986E-2</c:v>
                </c:pt>
                <c:pt idx="3">
                  <c:v>1.5927646022565161</c:v>
                </c:pt>
                <c:pt idx="4">
                  <c:v>-3.6317469515102551E-3</c:v>
                </c:pt>
                <c:pt idx="5">
                  <c:v>-0.19060770823180662</c:v>
                </c:pt>
                <c:pt idx="6">
                  <c:v>-0.19378426639751903</c:v>
                </c:pt>
                <c:pt idx="7">
                  <c:v>0.91035395954994747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B8-4E4B-9F8B-0FDA3282AFB2}"/>
            </c:ext>
          </c:extLst>
        </c:ser>
        <c:ser>
          <c:idx val="5"/>
          <c:order val="5"/>
          <c:tx>
            <c:strRef>
              <c:f>Graphs!$A$97</c:f>
              <c:strCache>
                <c:ptCount val="1"/>
                <c:pt idx="0">
                  <c:v>cc16d76232e5a5ec88990779fb25161754f2fcae1be1817d9b06db6ed01a0252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Graphs!$B$91:$I$91</c:f>
              <c:strCache>
                <c:ptCount val="8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</c:strCache>
            </c:strRef>
          </c:xVal>
          <c:yVal>
            <c:numRef>
              <c:f>Graphs!$B$97:$I$97</c:f>
              <c:numCache>
                <c:formatCode>General</c:formatCode>
                <c:ptCount val="8"/>
                <c:pt idx="0">
                  <c:v>-0.23484953244692486</c:v>
                </c:pt>
                <c:pt idx="1">
                  <c:v>1.0039521727395284</c:v>
                </c:pt>
                <c:pt idx="2">
                  <c:v>1.1550368782416266E-2</c:v>
                </c:pt>
                <c:pt idx="3">
                  <c:v>-0.19237903114719601</c:v>
                </c:pt>
                <c:pt idx="4">
                  <c:v>-0.20425456246674276</c:v>
                </c:pt>
                <c:pt idx="5">
                  <c:v>0.41496965248478845</c:v>
                </c:pt>
                <c:pt idx="6">
                  <c:v>0.42501047532455838</c:v>
                </c:pt>
                <c:pt idx="7">
                  <c:v>-0.63099887906625762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B8-4E4B-9F8B-0FDA3282AFB2}"/>
            </c:ext>
          </c:extLst>
        </c:ser>
        <c:ser>
          <c:idx val="6"/>
          <c:order val="6"/>
          <c:tx>
            <c:strRef>
              <c:f>Graphs!$A$98</c:f>
              <c:strCache>
                <c:ptCount val="1"/>
                <c:pt idx="0">
                  <c:v>6495f98496f9faa9acbcdcf4e6d7f54f0fc9d6989ccd6cbe8d514c709be1ae47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Graphs!$B$91:$I$91</c:f>
              <c:strCache>
                <c:ptCount val="8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</c:strCache>
            </c:strRef>
          </c:xVal>
          <c:yVal>
            <c:numRef>
              <c:f>Graphs!$B$98:$I$98</c:f>
              <c:numCache>
                <c:formatCode>General</c:formatCode>
                <c:ptCount val="8"/>
                <c:pt idx="0">
                  <c:v>0.46403405179032664</c:v>
                </c:pt>
                <c:pt idx="1">
                  <c:v>-0.34504551885704532</c:v>
                </c:pt>
                <c:pt idx="2">
                  <c:v>0.26422523950128585</c:v>
                </c:pt>
                <c:pt idx="3">
                  <c:v>-0.54007715322331062</c:v>
                </c:pt>
                <c:pt idx="4">
                  <c:v>0.92468906766966485</c:v>
                </c:pt>
                <c:pt idx="5">
                  <c:v>-0.4148440813530313</c:v>
                </c:pt>
                <c:pt idx="6">
                  <c:v>0.55035703369427835</c:v>
                </c:pt>
                <c:pt idx="7">
                  <c:v>-0.33618344016092505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B8-4E4B-9F8B-0FDA3282AFB2}"/>
            </c:ext>
          </c:extLst>
        </c:ser>
        <c:ser>
          <c:idx val="7"/>
          <c:order val="7"/>
          <c:tx>
            <c:strRef>
              <c:f>Graphs!$A$99</c:f>
              <c:strCache>
                <c:ptCount val="1"/>
                <c:pt idx="0">
                  <c:v>a0a4a0a999bb3c4c42ab65d8be5cc30bd395809ee6deffe8ff8849786856012c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Graphs!$B$91:$I$91</c:f>
              <c:strCache>
                <c:ptCount val="8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</c:strCache>
            </c:strRef>
          </c:xVal>
          <c:yVal>
            <c:numRef>
              <c:f>Graphs!$B$99:$I$99</c:f>
              <c:numCache>
                <c:formatCode>General</c:formatCode>
                <c:ptCount val="8"/>
                <c:pt idx="0">
                  <c:v>-8.2042641378370473E-2</c:v>
                </c:pt>
                <c:pt idx="1">
                  <c:v>-0.351463419167094</c:v>
                </c:pt>
                <c:pt idx="2">
                  <c:v>0.1238951428472906</c:v>
                </c:pt>
                <c:pt idx="3">
                  <c:v>6.1272471463077738E-2</c:v>
                </c:pt>
                <c:pt idx="4">
                  <c:v>-0.21417068605233716</c:v>
                </c:pt>
                <c:pt idx="5">
                  <c:v>1.9847344222538321E-2</c:v>
                </c:pt>
                <c:pt idx="6">
                  <c:v>3.49929983662218E-2</c:v>
                </c:pt>
                <c:pt idx="7">
                  <c:v>0.21342168392850469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B8-4E4B-9F8B-0FDA3282AFB2}"/>
            </c:ext>
          </c:extLst>
        </c:ser>
        <c:ser>
          <c:idx val="8"/>
          <c:order val="8"/>
          <c:tx>
            <c:strRef>
              <c:f>Graphs!$A$100</c:f>
              <c:strCache>
                <c:ptCount val="1"/>
                <c:pt idx="0">
                  <c:v>7f3b0e32ea2b17f7a0962be43fa129208723a474d1511b5ff8a21ed8c63aca65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Graphs!$B$91:$I$91</c:f>
              <c:strCache>
                <c:ptCount val="8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</c:strCache>
            </c:strRef>
          </c:xVal>
          <c:yVal>
            <c:numRef>
              <c:f>Graphs!$B$100:$I$100</c:f>
              <c:numCache>
                <c:formatCode>General</c:formatCode>
                <c:ptCount val="8"/>
                <c:pt idx="0">
                  <c:v>-2.3852844691979333E-2</c:v>
                </c:pt>
                <c:pt idx="1">
                  <c:v>0.58585496228077361</c:v>
                </c:pt>
                <c:pt idx="2">
                  <c:v>0.14975481077389816</c:v>
                </c:pt>
                <c:pt idx="3">
                  <c:v>-0.28298971123038624</c:v>
                </c:pt>
                <c:pt idx="4">
                  <c:v>-0.1107330968202465</c:v>
                </c:pt>
                <c:pt idx="5">
                  <c:v>0.11228168709510379</c:v>
                </c:pt>
                <c:pt idx="6">
                  <c:v>-0.38791782518067641</c:v>
                </c:pt>
                <c:pt idx="7">
                  <c:v>-5.386078391829538E-2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B8-4E4B-9F8B-0FDA3282AFB2}"/>
            </c:ext>
          </c:extLst>
        </c:ser>
        <c:ser>
          <c:idx val="9"/>
          <c:order val="9"/>
          <c:tx>
            <c:strRef>
              <c:f>Graphs!$A$101</c:f>
              <c:strCache>
                <c:ptCount val="1"/>
                <c:pt idx="0">
                  <c:v>6f5b156caaebfa4130a64c596e5794c2e55be72403d2ceb5c236b43d6cf082d1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Graphs!$B$91:$I$91</c:f>
              <c:strCache>
                <c:ptCount val="8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</c:strCache>
            </c:strRef>
          </c:xVal>
          <c:yVal>
            <c:numRef>
              <c:f>Graphs!$B$101:$I$101</c:f>
              <c:numCache>
                <c:formatCode>General</c:formatCode>
                <c:ptCount val="8"/>
                <c:pt idx="0">
                  <c:v>-0.25956332890143347</c:v>
                </c:pt>
                <c:pt idx="1">
                  <c:v>0.21798836666768337</c:v>
                </c:pt>
                <c:pt idx="2">
                  <c:v>0.24540105915193872</c:v>
                </c:pt>
                <c:pt idx="3">
                  <c:v>9.2413041347088928E-2</c:v>
                </c:pt>
                <c:pt idx="4">
                  <c:v>-0.33734852529165482</c:v>
                </c:pt>
                <c:pt idx="5">
                  <c:v>7.2177517387260665E-2</c:v>
                </c:pt>
                <c:pt idx="6">
                  <c:v>0.942594467360787</c:v>
                </c:pt>
                <c:pt idx="7">
                  <c:v>-6.9307038542884045E-2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B8-4E4B-9F8B-0FDA3282AFB2}"/>
            </c:ext>
          </c:extLst>
        </c:ser>
        <c:ser>
          <c:idx val="10"/>
          <c:order val="10"/>
          <c:tx>
            <c:strRef>
              <c:f>Graphs!$A$102</c:f>
              <c:strCache>
                <c:ptCount val="1"/>
                <c:pt idx="0">
                  <c:v>6aa02f42db10b522f763f840e9e8a0bcb461f6f2f570d596a768a59dbfd88113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Graphs!$B$91:$I$91</c:f>
              <c:strCache>
                <c:ptCount val="8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</c:strCache>
            </c:strRef>
          </c:xVal>
          <c:yVal>
            <c:numRef>
              <c:f>Graphs!$B$102:$I$102</c:f>
              <c:numCache>
                <c:formatCode>General</c:formatCode>
                <c:ptCount val="8"/>
                <c:pt idx="0">
                  <c:v>0.84559346011727565</c:v>
                </c:pt>
                <c:pt idx="1">
                  <c:v>-2.3174358593097175E-2</c:v>
                </c:pt>
                <c:pt idx="2">
                  <c:v>-0.44323331480701439</c:v>
                </c:pt>
                <c:pt idx="3">
                  <c:v>0.18740802115917046</c:v>
                </c:pt>
                <c:pt idx="4">
                  <c:v>-9.0176724966641808E-2</c:v>
                </c:pt>
                <c:pt idx="5">
                  <c:v>-0.46253185399677471</c:v>
                </c:pt>
                <c:pt idx="6">
                  <c:v>4.2561828998832008</c:v>
                </c:pt>
                <c:pt idx="7">
                  <c:v>-0.81029855423395114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B8-4E4B-9F8B-0FDA3282AFB2}"/>
            </c:ext>
          </c:extLst>
        </c:ser>
        <c:ser>
          <c:idx val="11"/>
          <c:order val="11"/>
          <c:tx>
            <c:strRef>
              <c:f>Graphs!$A$103</c:f>
              <c:strCache>
                <c:ptCount val="1"/>
                <c:pt idx="0">
                  <c:v>f3cc524e5f2cc476c53eea535c2fc45073cef06fbd25ecd7e5fe92d8b87b3d29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Graphs!$B$91:$I$91</c:f>
              <c:strCache>
                <c:ptCount val="8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</c:strCache>
            </c:strRef>
          </c:xVal>
          <c:yVal>
            <c:numRef>
              <c:f>Graphs!$B$103:$I$103</c:f>
              <c:numCache>
                <c:formatCode>General</c:formatCode>
                <c:ptCount val="8"/>
                <c:pt idx="0">
                  <c:v>0.20377591407499571</c:v>
                </c:pt>
                <c:pt idx="1">
                  <c:v>-0.3588297886243148</c:v>
                </c:pt>
                <c:pt idx="2">
                  <c:v>1.0180447520240139</c:v>
                </c:pt>
                <c:pt idx="3">
                  <c:v>6.6399081194437867E-2</c:v>
                </c:pt>
                <c:pt idx="4">
                  <c:v>-0.3697588176143643</c:v>
                </c:pt>
                <c:pt idx="5">
                  <c:v>-0.65043733774115187</c:v>
                </c:pt>
                <c:pt idx="6">
                  <c:v>1.8147914144999056</c:v>
                </c:pt>
                <c:pt idx="7">
                  <c:v>-0.24837799067804184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B8-4E4B-9F8B-0FDA3282A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0952912"/>
        <c:axId val="1650953392"/>
      </c:scatterChart>
      <c:valAx>
        <c:axId val="1650952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End 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953392"/>
        <c:crosses val="autoZero"/>
        <c:crossBetween val="midCat"/>
      </c:valAx>
      <c:valAx>
        <c:axId val="165095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952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561974</xdr:colOff>
      <xdr:row>0</xdr:row>
      <xdr:rowOff>0</xdr:rowOff>
    </xdr:from>
    <xdr:to>
      <xdr:col>31</xdr:col>
      <xdr:colOff>47625</xdr:colOff>
      <xdr:row>27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185BE5-4DE0-DD81-B56E-E52EE8366D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571499</xdr:colOff>
      <xdr:row>27</xdr:row>
      <xdr:rowOff>0</xdr:rowOff>
    </xdr:from>
    <xdr:to>
      <xdr:col>30</xdr:col>
      <xdr:colOff>600075</xdr:colOff>
      <xdr:row>57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981AF3-2874-67BB-7732-FAFEEEC99C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102053</xdr:colOff>
      <xdr:row>59</xdr:row>
      <xdr:rowOff>53066</xdr:rowOff>
    </xdr:from>
    <xdr:to>
      <xdr:col>31</xdr:col>
      <xdr:colOff>238125</xdr:colOff>
      <xdr:row>86</xdr:row>
      <xdr:rowOff>190499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A1364E-A446-0ADE-2732-16D4EA4B51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239485</xdr:colOff>
      <xdr:row>88</xdr:row>
      <xdr:rowOff>178252</xdr:rowOff>
    </xdr:from>
    <xdr:to>
      <xdr:col>37</xdr:col>
      <xdr:colOff>29936</xdr:colOff>
      <xdr:row>115</xdr:row>
      <xdr:rowOff>25853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A6A7AA8-FFD6-E7B8-5DF8-95E8DE391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2B7EA0F-08C1-4502-B587-3E6974EA0389}" autoFormatId="16" applyNumberFormats="0" applyBorderFormats="0" applyFontFormats="0" applyPatternFormats="0" applyAlignmentFormats="0" applyWidthHeightFormats="0">
  <queryTableRefresh nextId="19">
    <queryTableFields count="12">
      <queryTableField id="1" name="Identifier" tableColumnId="1"/>
      <queryTableField id="2" name="0" tableColumnId="2"/>
      <queryTableField id="3" name="1" tableColumnId="3"/>
      <queryTableField id="4" name="2" tableColumnId="4"/>
      <queryTableField id="5" name="3" tableColumnId="5"/>
      <queryTableField id="6" name="4" tableColumnId="6"/>
      <queryTableField id="7" name="5" tableColumnId="7"/>
      <queryTableField id="8" name="6" tableColumnId="8"/>
      <queryTableField id="9" name="7" tableColumnId="9"/>
      <queryTableField id="10" name="8" tableColumnId="10"/>
      <queryTableField id="17" name="Column11" tableColumnId="11"/>
      <queryTableField id="18" name="Column12" tableColumnId="12"/>
    </queryTableFields>
    <queryTableDeletedFields count="4">
      <deletedField name="Column11"/>
      <deletedField name="Column12"/>
      <deletedField name="Column11"/>
      <deletedField name="Column12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D94EB6A-C5AE-465B-A0C9-0578514FC9AA}" autoFormatId="16" applyNumberFormats="0" applyBorderFormats="0" applyFontFormats="0" applyPatternFormats="0" applyAlignmentFormats="0" applyWidthHeightFormats="0">
  <queryTableRefresh nextId="19">
    <queryTableFields count="12">
      <queryTableField id="1" name="Identifier" tableColumnId="1"/>
      <queryTableField id="2" name="0" tableColumnId="2"/>
      <queryTableField id="3" name="1" tableColumnId="3"/>
      <queryTableField id="4" name="2" tableColumnId="4"/>
      <queryTableField id="5" name="3" tableColumnId="5"/>
      <queryTableField id="6" name="4" tableColumnId="6"/>
      <queryTableField id="7" name="5" tableColumnId="7"/>
      <queryTableField id="8" name="6" tableColumnId="8"/>
      <queryTableField id="9" name="7" tableColumnId="9"/>
      <queryTableField id="10" name="8" tableColumnId="10"/>
      <queryTableField id="17" name="Column11" tableColumnId="11"/>
      <queryTableField id="18" name="Column12" tableColumnId="12"/>
    </queryTableFields>
    <queryTableDeletedFields count="4">
      <deletedField name="Column11"/>
      <deletedField name="Column12"/>
      <deletedField name="Column11"/>
      <deletedField name="Column1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61A039-F66E-4FFC-BCE1-4D82A05BCEF1}" name="T_All_K1_N10_P0" displayName="T_All_K1_N10_P0" ref="A1:L13" tableType="queryTable" totalsRowShown="0">
  <autoFilter ref="A1:L13" xr:uid="{6861A039-F66E-4FFC-BCE1-4D82A05BCEF1}"/>
  <tableColumns count="12">
    <tableColumn id="1" xr3:uid="{046157B0-B3A8-4AE4-9834-9EBEAA17AACA}" uniqueName="1" name="Identifier" queryTableFieldId="1" dataDxfId="13"/>
    <tableColumn id="2" xr3:uid="{49BF3B34-7D50-4C3D-8E79-CCA442B3343F}" uniqueName="2" name="0" queryTableFieldId="2"/>
    <tableColumn id="3" xr3:uid="{A1F2663E-7CCF-4F0D-B3F5-220F4E762D2C}" uniqueName="3" name="1" queryTableFieldId="3"/>
    <tableColumn id="4" xr3:uid="{04A70345-44BA-4366-A0E3-2996D838741F}" uniqueName="4" name="2" queryTableFieldId="4"/>
    <tableColumn id="5" xr3:uid="{DA9E2597-B6AE-44FD-8968-28F11CA0ECC7}" uniqueName="5" name="3" queryTableFieldId="5"/>
    <tableColumn id="6" xr3:uid="{A7D3B02C-282E-4629-BABE-6738B57F53C8}" uniqueName="6" name="4" queryTableFieldId="6"/>
    <tableColumn id="7" xr3:uid="{63AF18EE-D17D-44A9-B64F-1A1FDCA26ADD}" uniqueName="7" name="5" queryTableFieldId="7"/>
    <tableColumn id="8" xr3:uid="{E17547A3-7F49-4998-9B1E-B5EDFD31FFC8}" uniqueName="8" name="6" queryTableFieldId="8"/>
    <tableColumn id="9" xr3:uid="{25EBA8A6-D32D-4F5D-8BB7-BF38ACBDCD48}" uniqueName="9" name="7" queryTableFieldId="9"/>
    <tableColumn id="10" xr3:uid="{1CDA6633-1F5E-4729-8E46-589229D27F9F}" uniqueName="10" name="8" queryTableFieldId="10"/>
    <tableColumn id="11" xr3:uid="{6ED7251F-28D3-4FF3-A440-732906B5A6B3}" uniqueName="11" name="Column11" queryTableFieldId="17"/>
    <tableColumn id="12" xr3:uid="{1756B665-935C-4C4B-9844-82EF715B32B8}" uniqueName="12" name="Column12" queryTableField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B137A0-8002-4D7D-A79E-24DCE2AB6432}" name="T_All_K1_N10_P03" displayName="T_All_K1_N10_P03" ref="A2:L14" tableType="queryTable" totalsRowShown="0">
  <autoFilter ref="A2:L14" xr:uid="{52B137A0-8002-4D7D-A79E-24DCE2AB6432}"/>
  <tableColumns count="12">
    <tableColumn id="1" xr3:uid="{4A8D7D79-D0EE-463F-94AA-592D114A0898}" uniqueName="1" name="Identifier" queryTableFieldId="1" dataDxfId="12"/>
    <tableColumn id="2" xr3:uid="{A22FE4B4-F1E2-4057-9009-F7AC615C18CD}" uniqueName="2" name="0" queryTableFieldId="2"/>
    <tableColumn id="3" xr3:uid="{04D5029B-D297-4BEB-9B2D-85100CC07D00}" uniqueName="3" name="1" queryTableFieldId="3"/>
    <tableColumn id="4" xr3:uid="{D9F7C835-C9C4-4431-8085-A796A2B8FB0C}" uniqueName="4" name="2" queryTableFieldId="4"/>
    <tableColumn id="5" xr3:uid="{4BCC175E-9C1B-47CB-9F75-9C86C67A466C}" uniqueName="5" name="3" queryTableFieldId="5"/>
    <tableColumn id="6" xr3:uid="{F450BA01-A78B-493E-A118-308C36DF31FA}" uniqueName="6" name="4" queryTableFieldId="6"/>
    <tableColumn id="7" xr3:uid="{BCF259FE-3718-44A6-96C3-0A2B476E2B00}" uniqueName="7" name="5" queryTableFieldId="7"/>
    <tableColumn id="8" xr3:uid="{1A8C2676-6ADB-460E-88D2-CC8D882E5B39}" uniqueName="8" name="6" queryTableFieldId="8"/>
    <tableColumn id="9" xr3:uid="{2A849420-1C4C-41B6-BF3F-3B89C4F99C3A}" uniqueName="9" name="7" queryTableFieldId="9"/>
    <tableColumn id="10" xr3:uid="{EA4B785B-3683-4CC6-B9D3-D5BB0C38E0BA}" uniqueName="10" name="8" queryTableFieldId="10"/>
    <tableColumn id="11" xr3:uid="{BD839E20-6A87-48D1-8FC1-FB164113F83C}" uniqueName="11" name="Column11" queryTableFieldId="17"/>
    <tableColumn id="12" xr3:uid="{37FDE691-7864-4D6C-B54C-55ABB3B51429}" uniqueName="12" name="Column12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7AC70-6724-4F24-8A6C-26B486A04788}">
  <dimension ref="A1:L13"/>
  <sheetViews>
    <sheetView zoomScale="145" zoomScaleNormal="145" workbookViewId="0">
      <selection activeCell="B2" sqref="B2"/>
    </sheetView>
  </sheetViews>
  <sheetFormatPr defaultRowHeight="15" x14ac:dyDescent="0.25"/>
  <cols>
    <col min="1" max="1" width="68.42578125" bestFit="1" customWidth="1"/>
    <col min="2" max="10" width="12" bestFit="1" customWidth="1"/>
    <col min="11" max="12" width="12.42578125" bestFit="1" customWidth="1"/>
    <col min="13" max="14" width="12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39</v>
      </c>
      <c r="L1" t="s">
        <v>40</v>
      </c>
    </row>
    <row r="2" spans="1:12" x14ac:dyDescent="0.25">
      <c r="A2" t="s">
        <v>22</v>
      </c>
      <c r="B2">
        <v>5.6707540869999997</v>
      </c>
      <c r="C2">
        <v>2.6827083360000001</v>
      </c>
      <c r="D2">
        <v>9.5101160900000004</v>
      </c>
      <c r="E2">
        <v>4.1070766470000004</v>
      </c>
      <c r="F2">
        <v>5.6419096880000001</v>
      </c>
      <c r="G2">
        <v>4.9727410450000002</v>
      </c>
      <c r="H2">
        <v>5.3640856159999997</v>
      </c>
      <c r="I2">
        <v>8.9479245929999998</v>
      </c>
      <c r="J2">
        <v>7.0236156049999998</v>
      </c>
    </row>
    <row r="3" spans="1:12" x14ac:dyDescent="0.25">
      <c r="A3" t="s">
        <v>23</v>
      </c>
      <c r="B3">
        <v>7.8374335410000002</v>
      </c>
      <c r="C3">
        <v>5.1008399799999999</v>
      </c>
      <c r="D3">
        <v>9.1046567379999992</v>
      </c>
      <c r="E3">
        <v>4.3203476719999996</v>
      </c>
      <c r="F3">
        <v>10.848992340000001</v>
      </c>
      <c r="G3">
        <v>7.9346082500000001</v>
      </c>
      <c r="H3">
        <v>5.4931446570000002</v>
      </c>
      <c r="I3">
        <v>9.8119268910000006</v>
      </c>
      <c r="J3">
        <v>5.5981143820000003</v>
      </c>
    </row>
    <row r="4" spans="1:12" x14ac:dyDescent="0.25">
      <c r="A4" t="s">
        <v>24</v>
      </c>
      <c r="B4">
        <v>6.418538249</v>
      </c>
      <c r="C4">
        <v>8.1532211910000001</v>
      </c>
      <c r="D4">
        <v>7.995956273</v>
      </c>
      <c r="E4">
        <v>10.156819430000001</v>
      </c>
      <c r="F4">
        <v>6.7149246309999997</v>
      </c>
      <c r="G4">
        <v>6.3503784919999999</v>
      </c>
      <c r="H4">
        <v>10.048270799999999</v>
      </c>
      <c r="I4">
        <v>7.9475027469999997</v>
      </c>
      <c r="J4">
        <v>6.906162213</v>
      </c>
    </row>
    <row r="5" spans="1:12" x14ac:dyDescent="0.25">
      <c r="A5" t="s">
        <v>25</v>
      </c>
      <c r="B5">
        <v>3.6806850679999998</v>
      </c>
      <c r="C5">
        <v>3.4622552369999999</v>
      </c>
      <c r="D5">
        <v>7.1898995809999997</v>
      </c>
      <c r="E5">
        <v>4.8316994949999996</v>
      </c>
      <c r="F5">
        <v>3.447267504</v>
      </c>
      <c r="G5">
        <v>3.5914727800000001</v>
      </c>
      <c r="H5">
        <v>7.3375265580000004</v>
      </c>
      <c r="I5">
        <v>3.6664365210000001</v>
      </c>
      <c r="J5">
        <v>1.5938414750000001</v>
      </c>
    </row>
    <row r="6" spans="1:12" x14ac:dyDescent="0.25">
      <c r="A6" t="s">
        <v>26</v>
      </c>
      <c r="B6">
        <v>3.5151636769999999</v>
      </c>
      <c r="C6">
        <v>4.4862471370000003</v>
      </c>
      <c r="D6">
        <v>1.486169748</v>
      </c>
      <c r="E6">
        <v>1.363510169</v>
      </c>
      <c r="F6">
        <v>3.535260901</v>
      </c>
      <c r="G6">
        <v>3.5224217279999999</v>
      </c>
      <c r="H6">
        <v>2.8510209949999998</v>
      </c>
      <c r="I6">
        <v>2.2985379830000001</v>
      </c>
      <c r="J6">
        <v>4.3910211370000001</v>
      </c>
    </row>
    <row r="7" spans="1:12" x14ac:dyDescent="0.25">
      <c r="A7" t="s">
        <v>27</v>
      </c>
      <c r="B7">
        <v>4.972816828</v>
      </c>
      <c r="C7">
        <v>3.804953121</v>
      </c>
      <c r="D7">
        <v>7.6249440740000001</v>
      </c>
      <c r="E7">
        <v>7.7130149899999996</v>
      </c>
      <c r="F7">
        <v>6.2291926389999999</v>
      </c>
      <c r="G7">
        <v>4.9568516220000003</v>
      </c>
      <c r="H7">
        <v>7.0137946170000003</v>
      </c>
      <c r="I7">
        <v>9.9947308009999993</v>
      </c>
      <c r="J7">
        <v>3.688066869</v>
      </c>
    </row>
    <row r="8" spans="1:12" x14ac:dyDescent="0.25">
      <c r="A8" t="s">
        <v>28</v>
      </c>
      <c r="B8">
        <v>7.4614273600000001</v>
      </c>
      <c r="C8">
        <v>10.92378373</v>
      </c>
      <c r="D8">
        <v>7.1545811050000001</v>
      </c>
      <c r="E8">
        <v>9.0450020109999993</v>
      </c>
      <c r="F8">
        <v>4.1600030739999996</v>
      </c>
      <c r="G8">
        <v>8.0067124379999992</v>
      </c>
      <c r="H8">
        <v>4.6851751720000001</v>
      </c>
      <c r="I8">
        <v>7.2636942820000003</v>
      </c>
      <c r="J8">
        <v>4.8217605499999996</v>
      </c>
    </row>
    <row r="9" spans="1:12" x14ac:dyDescent="0.25">
      <c r="A9" t="s">
        <v>29</v>
      </c>
      <c r="B9">
        <v>13.60115461</v>
      </c>
      <c r="C9">
        <v>12.48527996</v>
      </c>
      <c r="D9">
        <v>8.0971607760000008</v>
      </c>
      <c r="E9">
        <v>9.1003596669999993</v>
      </c>
      <c r="F9">
        <v>9.6579611950000004</v>
      </c>
      <c r="G9">
        <v>7.5895090200000004</v>
      </c>
      <c r="H9">
        <v>7.7401406179999999</v>
      </c>
      <c r="I9">
        <v>8.0109913460000008</v>
      </c>
      <c r="J9">
        <v>9.7207106089999993</v>
      </c>
    </row>
    <row r="10" spans="1:12" x14ac:dyDescent="0.25">
      <c r="A10" t="s">
        <v>33</v>
      </c>
      <c r="B10">
        <v>5.0645134179999998</v>
      </c>
      <c r="C10">
        <v>4.9437103660000004</v>
      </c>
      <c r="D10">
        <v>7.8400076160000003</v>
      </c>
      <c r="E10">
        <v>9.0140864730000008</v>
      </c>
      <c r="F10">
        <v>6.4631927449999997</v>
      </c>
      <c r="G10">
        <v>5.747503397</v>
      </c>
      <c r="H10">
        <v>6.3928427750000001</v>
      </c>
      <c r="I10">
        <v>3.9129451089999998</v>
      </c>
      <c r="J10">
        <v>3.702190818</v>
      </c>
    </row>
    <row r="11" spans="1:12" x14ac:dyDescent="0.25">
      <c r="A11" t="s">
        <v>34</v>
      </c>
      <c r="B11">
        <v>3.5935724740000001</v>
      </c>
      <c r="C11">
        <v>2.6608128400000002</v>
      </c>
      <c r="D11">
        <v>3.2408390850000002</v>
      </c>
      <c r="E11">
        <v>4.0361444290000001</v>
      </c>
      <c r="F11">
        <v>4.4091368109999998</v>
      </c>
      <c r="G11">
        <v>2.9217210100000002</v>
      </c>
      <c r="H11">
        <v>3.132603579</v>
      </c>
      <c r="I11">
        <v>6.0853783809999999</v>
      </c>
      <c r="J11">
        <v>5.6636188269999996</v>
      </c>
    </row>
    <row r="12" spans="1:12" x14ac:dyDescent="0.25">
      <c r="A12" t="s">
        <v>41</v>
      </c>
      <c r="B12">
        <v>2.9964523870000002</v>
      </c>
      <c r="C12">
        <v>5.5302329290000003</v>
      </c>
      <c r="D12">
        <v>5.4020733280000002</v>
      </c>
      <c r="E12">
        <v>3.0076944600000002</v>
      </c>
      <c r="F12">
        <v>3.571360527</v>
      </c>
      <c r="G12">
        <v>3.249306931</v>
      </c>
      <c r="H12">
        <v>1.7463989719999999</v>
      </c>
      <c r="I12">
        <v>9.1793924130000004</v>
      </c>
      <c r="J12">
        <v>1.7413440120000001</v>
      </c>
    </row>
    <row r="13" spans="1:12" x14ac:dyDescent="0.25">
      <c r="A13" t="s">
        <v>42</v>
      </c>
      <c r="B13">
        <v>4.0426866969999997</v>
      </c>
      <c r="C13">
        <v>4.8664888739999999</v>
      </c>
      <c r="D13">
        <v>3.1202477000000002</v>
      </c>
      <c r="E13">
        <v>6.2967994960000002</v>
      </c>
      <c r="F13">
        <v>6.7149011969999997</v>
      </c>
      <c r="G13">
        <v>4.2320072700000004</v>
      </c>
      <c r="H13">
        <v>1.4793517279999999</v>
      </c>
      <c r="I13">
        <v>4.1640665429999997</v>
      </c>
      <c r="J13">
        <v>3.1298040619999998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6ADCC-00BB-4058-A1B8-16AB3F675525}">
  <dimension ref="A1:L41"/>
  <sheetViews>
    <sheetView workbookViewId="0">
      <selection activeCell="I24" sqref="I24"/>
    </sheetView>
  </sheetViews>
  <sheetFormatPr defaultRowHeight="15" x14ac:dyDescent="0.25"/>
  <cols>
    <col min="1" max="1" width="52.28515625" customWidth="1"/>
  </cols>
  <sheetData>
    <row r="1" spans="1:12" x14ac:dyDescent="0.25">
      <c r="A1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L1" s="3" t="s">
        <v>10</v>
      </c>
    </row>
    <row r="2" spans="1:12" x14ac:dyDescent="0.25">
      <c r="A2" t="str">
        <f>T_All_K1_N10_P0[[#This Row],[Identifier]]</f>
        <v>428da1312b4e9e175c8da20472e82f346f19060102702e896cd2ed510d1f82d3</v>
      </c>
      <c r="B2">
        <f>T_All_K1_N10_P0[[#This Row],[0]]</f>
        <v>5.6707540869999997</v>
      </c>
      <c r="C2">
        <f>T_All_K1_N10_P0[[#This Row],[1]]</f>
        <v>2.6827083360000001</v>
      </c>
      <c r="D2">
        <f>T_All_K1_N10_P0[[#This Row],[2]]</f>
        <v>9.5101160900000004</v>
      </c>
      <c r="E2">
        <f>T_All_K1_N10_P0[[#This Row],[3]]</f>
        <v>4.1070766470000004</v>
      </c>
      <c r="F2">
        <f>T_All_K1_N10_P0[[#This Row],[4]]</f>
        <v>5.6419096880000001</v>
      </c>
      <c r="G2">
        <f>T_All_K1_N10_P0[[#This Row],[5]]</f>
        <v>4.9727410450000002</v>
      </c>
      <c r="H2">
        <f>T_All_K1_N10_P0[[#This Row],[6]]</f>
        <v>5.3640856159999997</v>
      </c>
      <c r="I2">
        <f>T_All_K1_N10_P0[[#This Row],[7]]</f>
        <v>8.9479245929999998</v>
      </c>
      <c r="J2">
        <f>T_All_K1_N10_P0[[#This Row],[8]]</f>
        <v>7.0236156049999998</v>
      </c>
      <c r="L2" s="1">
        <f t="shared" ref="L2:L13" si="0">RSQ(B2:J2,$B$1:$J$1)</f>
        <v>0.12240314049689069</v>
      </c>
    </row>
    <row r="3" spans="1:12" x14ac:dyDescent="0.25">
      <c r="A3" t="str">
        <f>T_All_K1_N10_P0[[#This Row],[Identifier]]</f>
        <v>b96c0907522c2773f70c3772a20a66ed27faa11b69222bb914593d8c048e550f</v>
      </c>
      <c r="B3">
        <f>T_All_K1_N10_P0[[#This Row],[0]]</f>
        <v>7.8374335410000002</v>
      </c>
      <c r="C3">
        <f>T_All_K1_N10_P0[[#This Row],[1]]</f>
        <v>5.1008399799999999</v>
      </c>
      <c r="D3">
        <f>T_All_K1_N10_P0[[#This Row],[2]]</f>
        <v>9.1046567379999992</v>
      </c>
      <c r="E3">
        <f>T_All_K1_N10_P0[[#This Row],[3]]</f>
        <v>4.3203476719999996</v>
      </c>
      <c r="F3">
        <f>T_All_K1_N10_P0[[#This Row],[4]]</f>
        <v>10.848992340000001</v>
      </c>
      <c r="G3">
        <f>T_All_K1_N10_P0[[#This Row],[5]]</f>
        <v>7.9346082500000001</v>
      </c>
      <c r="H3">
        <f>T_All_K1_N10_P0[[#This Row],[6]]</f>
        <v>5.4931446570000002</v>
      </c>
      <c r="I3">
        <f>T_All_K1_N10_P0[[#This Row],[7]]</f>
        <v>9.8119268910000006</v>
      </c>
      <c r="J3">
        <f>T_All_K1_N10_P0[[#This Row],[8]]</f>
        <v>5.5981143820000003</v>
      </c>
      <c r="L3" s="1">
        <f t="shared" si="0"/>
        <v>9.5834560568402484E-4</v>
      </c>
    </row>
    <row r="4" spans="1:12" x14ac:dyDescent="0.25">
      <c r="A4" t="str">
        <f>T_All_K1_N10_P0[[#This Row],[Identifier]]</f>
        <v>91c19dd683a61988ab47f9523ac0c69189fc5bf0bc129535df465e67ceaa3f5c</v>
      </c>
      <c r="B4">
        <f>T_All_K1_N10_P0[[#This Row],[0]]</f>
        <v>6.418538249</v>
      </c>
      <c r="C4">
        <f>T_All_K1_N10_P0[[#This Row],[1]]</f>
        <v>8.1532211910000001</v>
      </c>
      <c r="D4">
        <f>T_All_K1_N10_P0[[#This Row],[2]]</f>
        <v>7.995956273</v>
      </c>
      <c r="E4">
        <f>T_All_K1_N10_P0[[#This Row],[3]]</f>
        <v>10.156819430000001</v>
      </c>
      <c r="F4">
        <f>T_All_K1_N10_P0[[#This Row],[4]]</f>
        <v>6.7149246309999997</v>
      </c>
      <c r="G4">
        <f>T_All_K1_N10_P0[[#This Row],[5]]</f>
        <v>6.3503784919999999</v>
      </c>
      <c r="H4">
        <f>T_All_K1_N10_P0[[#This Row],[6]]</f>
        <v>10.048270799999999</v>
      </c>
      <c r="I4">
        <f>T_All_K1_N10_P0[[#This Row],[7]]</f>
        <v>7.9475027469999997</v>
      </c>
      <c r="J4">
        <f>T_All_K1_N10_P0[[#This Row],[8]]</f>
        <v>6.906162213</v>
      </c>
      <c r="L4" s="1">
        <f t="shared" si="0"/>
        <v>2.6480823810346851E-3</v>
      </c>
    </row>
    <row r="5" spans="1:12" x14ac:dyDescent="0.25">
      <c r="A5" t="str">
        <f>T_All_K1_N10_P0[[#This Row],[Identifier]]</f>
        <v>a77913344f83d12ba672562908a45473f0d39decfb73132ce324137df5880dca</v>
      </c>
      <c r="B5">
        <f>T_All_K1_N10_P0[[#This Row],[0]]</f>
        <v>3.6806850679999998</v>
      </c>
      <c r="C5">
        <f>T_All_K1_N10_P0[[#This Row],[1]]</f>
        <v>3.4622552369999999</v>
      </c>
      <c r="D5">
        <f>T_All_K1_N10_P0[[#This Row],[2]]</f>
        <v>7.1898995809999997</v>
      </c>
      <c r="E5">
        <f>T_All_K1_N10_P0[[#This Row],[3]]</f>
        <v>4.8316994949999996</v>
      </c>
      <c r="F5">
        <f>T_All_K1_N10_P0[[#This Row],[4]]</f>
        <v>3.447267504</v>
      </c>
      <c r="G5">
        <f>T_All_K1_N10_P0[[#This Row],[5]]</f>
        <v>3.5914727800000001</v>
      </c>
      <c r="H5">
        <f>T_All_K1_N10_P0[[#This Row],[6]]</f>
        <v>7.3375265580000004</v>
      </c>
      <c r="I5">
        <f>T_All_K1_N10_P0[[#This Row],[7]]</f>
        <v>3.6664365210000001</v>
      </c>
      <c r="J5">
        <f>T_All_K1_N10_P0[[#This Row],[8]]</f>
        <v>1.5938414750000001</v>
      </c>
      <c r="L5" s="1">
        <f t="shared" si="0"/>
        <v>4.5007168241325217E-2</v>
      </c>
    </row>
    <row r="6" spans="1:12" x14ac:dyDescent="0.25">
      <c r="A6" t="str">
        <f>T_All_K1_N10_P0[[#This Row],[Identifier]]</f>
        <v>31dc9a7ab1e4d4612bdaf0e2738743d8249dd2a8c694e94911c68de321218e14</v>
      </c>
      <c r="B6">
        <f>T_All_K1_N10_P0[[#This Row],[0]]</f>
        <v>3.5151636769999999</v>
      </c>
      <c r="C6">
        <f>T_All_K1_N10_P0[[#This Row],[1]]</f>
        <v>4.4862471370000003</v>
      </c>
      <c r="D6">
        <f>T_All_K1_N10_P0[[#This Row],[2]]</f>
        <v>1.486169748</v>
      </c>
      <c r="E6">
        <f>T_All_K1_N10_P0[[#This Row],[3]]</f>
        <v>1.363510169</v>
      </c>
      <c r="F6">
        <f>T_All_K1_N10_P0[[#This Row],[4]]</f>
        <v>3.535260901</v>
      </c>
      <c r="G6">
        <f>T_All_K1_N10_P0[[#This Row],[5]]</f>
        <v>3.5224217279999999</v>
      </c>
      <c r="H6">
        <f>T_All_K1_N10_P0[[#This Row],[6]]</f>
        <v>2.8510209949999998</v>
      </c>
      <c r="I6">
        <f>T_All_K1_N10_P0[[#This Row],[7]]</f>
        <v>2.2985379830000001</v>
      </c>
      <c r="J6">
        <f>T_All_K1_N10_P0[[#This Row],[8]]</f>
        <v>4.3910211370000001</v>
      </c>
      <c r="L6" s="1">
        <f t="shared" si="0"/>
        <v>5.3449103292046172E-3</v>
      </c>
    </row>
    <row r="7" spans="1:12" x14ac:dyDescent="0.25">
      <c r="A7" t="str">
        <f>T_All_K1_N10_P0[[#This Row],[Identifier]]</f>
        <v>cc16d76232e5a5ec88990779fb25161754f2fcae1be1817d9b06db6ed01a0252</v>
      </c>
      <c r="B7">
        <f>T_All_K1_N10_P0[[#This Row],[0]]</f>
        <v>4.972816828</v>
      </c>
      <c r="C7">
        <f>T_All_K1_N10_P0[[#This Row],[1]]</f>
        <v>3.804953121</v>
      </c>
      <c r="D7">
        <f>T_All_K1_N10_P0[[#This Row],[2]]</f>
        <v>7.6249440740000001</v>
      </c>
      <c r="E7">
        <f>T_All_K1_N10_P0[[#This Row],[3]]</f>
        <v>7.7130149899999996</v>
      </c>
      <c r="F7">
        <f>T_All_K1_N10_P0[[#This Row],[4]]</f>
        <v>6.2291926389999999</v>
      </c>
      <c r="G7">
        <f>T_All_K1_N10_P0[[#This Row],[5]]</f>
        <v>4.9568516220000003</v>
      </c>
      <c r="H7">
        <f>T_All_K1_N10_P0[[#This Row],[6]]</f>
        <v>7.0137946170000003</v>
      </c>
      <c r="I7">
        <f>T_All_K1_N10_P0[[#This Row],[7]]</f>
        <v>9.9947308009999993</v>
      </c>
      <c r="J7">
        <f>T_All_K1_N10_P0[[#This Row],[8]]</f>
        <v>3.688066869</v>
      </c>
      <c r="L7" s="1">
        <f t="shared" si="0"/>
        <v>4.3188610821171203E-2</v>
      </c>
    </row>
    <row r="8" spans="1:12" x14ac:dyDescent="0.25">
      <c r="A8" t="str">
        <f>T_All_K1_N10_P0[[#This Row],[Identifier]]</f>
        <v>6495f98496f9faa9acbcdcf4e6d7f54f0fc9d6989ccd6cbe8d514c709be1ae47</v>
      </c>
      <c r="B8">
        <f>T_All_K1_N10_P0[[#This Row],[0]]</f>
        <v>7.4614273600000001</v>
      </c>
      <c r="C8">
        <f>T_All_K1_N10_P0[[#This Row],[1]]</f>
        <v>10.92378373</v>
      </c>
      <c r="D8">
        <f>T_All_K1_N10_P0[[#This Row],[2]]</f>
        <v>7.1545811050000001</v>
      </c>
      <c r="E8">
        <f>T_All_K1_N10_P0[[#This Row],[3]]</f>
        <v>9.0450020109999993</v>
      </c>
      <c r="F8">
        <f>T_All_K1_N10_P0[[#This Row],[4]]</f>
        <v>4.1600030739999996</v>
      </c>
      <c r="G8">
        <f>T_All_K1_N10_P0[[#This Row],[5]]</f>
        <v>8.0067124379999992</v>
      </c>
      <c r="H8">
        <f>T_All_K1_N10_P0[[#This Row],[6]]</f>
        <v>4.6851751720000001</v>
      </c>
      <c r="I8">
        <f>T_All_K1_N10_P0[[#This Row],[7]]</f>
        <v>7.2636942820000003</v>
      </c>
      <c r="J8">
        <f>T_All_K1_N10_P0[[#This Row],[8]]</f>
        <v>4.8217605499999996</v>
      </c>
      <c r="L8" s="1">
        <f t="shared" si="0"/>
        <v>0.32325944405042567</v>
      </c>
    </row>
    <row r="9" spans="1:12" x14ac:dyDescent="0.25">
      <c r="A9" t="str">
        <f>T_All_K1_N10_P0[[#This Row],[Identifier]]</f>
        <v>a0a4a0a999bb3c4c42ab65d8be5cc30bd395809ee6deffe8ff8849786856012c</v>
      </c>
      <c r="B9">
        <f>T_All_K1_N10_P0[[#This Row],[0]]</f>
        <v>13.60115461</v>
      </c>
      <c r="C9">
        <f>T_All_K1_N10_P0[[#This Row],[1]]</f>
        <v>12.48527996</v>
      </c>
      <c r="D9">
        <f>T_All_K1_N10_P0[[#This Row],[2]]</f>
        <v>8.0971607760000008</v>
      </c>
      <c r="E9">
        <f>T_All_K1_N10_P0[[#This Row],[3]]</f>
        <v>9.1003596669999993</v>
      </c>
      <c r="F9">
        <f>T_All_K1_N10_P0[[#This Row],[4]]</f>
        <v>9.6579611950000004</v>
      </c>
      <c r="G9">
        <f>T_All_K1_N10_P0[[#This Row],[5]]</f>
        <v>7.5895090200000004</v>
      </c>
      <c r="H9">
        <f>T_All_K1_N10_P0[[#This Row],[6]]</f>
        <v>7.7401406179999999</v>
      </c>
      <c r="I9">
        <f>T_All_K1_N10_P0[[#This Row],[7]]</f>
        <v>8.0109913460000008</v>
      </c>
      <c r="J9">
        <f>T_All_K1_N10_P0[[#This Row],[8]]</f>
        <v>9.7207106089999993</v>
      </c>
      <c r="L9" s="1">
        <f t="shared" si="0"/>
        <v>0.43918802892931852</v>
      </c>
    </row>
    <row r="10" spans="1:12" x14ac:dyDescent="0.25">
      <c r="A10" t="str">
        <f>T_All_K1_N10_P0[[#This Row],[Identifier]]</f>
        <v>7f3b0e32ea2b17f7a0962be43fa129208723a474d1511b5ff8a21ed8c63aca65</v>
      </c>
      <c r="B10">
        <f>T_All_K1_N10_P0[[#This Row],[0]]</f>
        <v>5.0645134179999998</v>
      </c>
      <c r="C10">
        <f>T_All_K1_N10_P0[[#This Row],[1]]</f>
        <v>4.9437103660000004</v>
      </c>
      <c r="D10">
        <f>T_All_K1_N10_P0[[#This Row],[2]]</f>
        <v>7.8400076160000003</v>
      </c>
      <c r="E10">
        <f>T_All_K1_N10_P0[[#This Row],[3]]</f>
        <v>9.0140864730000008</v>
      </c>
      <c r="F10">
        <f>T_All_K1_N10_P0[[#This Row],[4]]</f>
        <v>6.4631927449999997</v>
      </c>
      <c r="G10">
        <f>T_All_K1_N10_P0[[#This Row],[5]]</f>
        <v>5.747503397</v>
      </c>
      <c r="H10">
        <f>T_All_K1_N10_P0[[#This Row],[6]]</f>
        <v>6.3928427750000001</v>
      </c>
      <c r="I10">
        <f>T_All_K1_N10_P0[[#This Row],[7]]</f>
        <v>3.9129451089999998</v>
      </c>
      <c r="J10">
        <f>T_All_K1_N10_P0[[#This Row],[8]]</f>
        <v>3.702190818</v>
      </c>
      <c r="L10" s="1">
        <f t="shared" si="0"/>
        <v>0.14743669250963681</v>
      </c>
    </row>
    <row r="11" spans="1:12" x14ac:dyDescent="0.25">
      <c r="A11" t="str">
        <f>T_All_K1_N10_P0[[#This Row],[Identifier]]</f>
        <v>6f5b156caaebfa4130a64c596e5794c2e55be72403d2ceb5c236b43d6cf082d1</v>
      </c>
      <c r="B11">
        <f>T_All_K1_N10_P0[[#This Row],[0]]</f>
        <v>3.5935724740000001</v>
      </c>
      <c r="C11">
        <f>T_All_K1_N10_P0[[#This Row],[1]]</f>
        <v>2.6608128400000002</v>
      </c>
      <c r="D11">
        <f>T_All_K1_N10_P0[[#This Row],[2]]</f>
        <v>3.2408390850000002</v>
      </c>
      <c r="E11">
        <f>T_All_K1_N10_P0[[#This Row],[3]]</f>
        <v>4.0361444290000001</v>
      </c>
      <c r="F11">
        <f>T_All_K1_N10_P0[[#This Row],[4]]</f>
        <v>4.4091368109999998</v>
      </c>
      <c r="G11">
        <f>T_All_K1_N10_P0[[#This Row],[5]]</f>
        <v>2.9217210100000002</v>
      </c>
      <c r="H11">
        <f>T_All_K1_N10_P0[[#This Row],[6]]</f>
        <v>3.132603579</v>
      </c>
      <c r="I11">
        <f>T_All_K1_N10_P0[[#This Row],[7]]</f>
        <v>6.0853783809999999</v>
      </c>
      <c r="J11">
        <f>T_All_K1_N10_P0[[#This Row],[8]]</f>
        <v>5.6636188269999996</v>
      </c>
      <c r="L11" s="1">
        <f t="shared" si="0"/>
        <v>0.42154895340929199</v>
      </c>
    </row>
    <row r="12" spans="1:12" x14ac:dyDescent="0.25">
      <c r="A12" t="str">
        <f>T_All_K1_N10_P0[[#This Row],[Identifier]]</f>
        <v>6aa02f42db10b522f763f840e9e8a0bcb461f6f2f570d596a768a59dbfd88113</v>
      </c>
      <c r="B12">
        <f>T_All_K1_N10_P0[[#This Row],[0]]</f>
        <v>2.9964523870000002</v>
      </c>
      <c r="C12">
        <f>T_All_K1_N10_P0[[#This Row],[1]]</f>
        <v>5.5302329290000003</v>
      </c>
      <c r="D12">
        <f>T_All_K1_N10_P0[[#This Row],[2]]</f>
        <v>5.4020733280000002</v>
      </c>
      <c r="E12">
        <f>T_All_K1_N10_P0[[#This Row],[3]]</f>
        <v>3.0076944600000002</v>
      </c>
      <c r="F12">
        <f>T_All_K1_N10_P0[[#This Row],[4]]</f>
        <v>3.571360527</v>
      </c>
      <c r="G12">
        <f>T_All_K1_N10_P0[[#This Row],[5]]</f>
        <v>3.249306931</v>
      </c>
      <c r="H12">
        <f>T_All_K1_N10_P0[[#This Row],[6]]</f>
        <v>1.7463989719999999</v>
      </c>
      <c r="I12">
        <f>T_All_K1_N10_P0[[#This Row],[7]]</f>
        <v>9.1793924130000004</v>
      </c>
      <c r="J12">
        <f>T_All_K1_N10_P0[[#This Row],[8]]</f>
        <v>1.7413440120000001</v>
      </c>
      <c r="L12" s="1">
        <f t="shared" si="0"/>
        <v>4.9423107613730808E-4</v>
      </c>
    </row>
    <row r="13" spans="1:12" x14ac:dyDescent="0.25">
      <c r="A13" t="str">
        <f>T_All_K1_N10_P0[[#This Row],[Identifier]]</f>
        <v>f3cc524e5f2cc476c53eea535c2fc45073cef06fbd25ecd7e5fe92d8b87b3d29</v>
      </c>
      <c r="B13">
        <f>T_All_K1_N10_P0[[#This Row],[0]]</f>
        <v>4.0426866969999997</v>
      </c>
      <c r="C13">
        <f>T_All_K1_N10_P0[[#This Row],[1]]</f>
        <v>4.8664888739999999</v>
      </c>
      <c r="D13">
        <f>T_All_K1_N10_P0[[#This Row],[2]]</f>
        <v>3.1202477000000002</v>
      </c>
      <c r="E13">
        <f>T_All_K1_N10_P0[[#This Row],[3]]</f>
        <v>6.2967994960000002</v>
      </c>
      <c r="F13">
        <f>T_All_K1_N10_P0[[#This Row],[4]]</f>
        <v>6.7149011969999997</v>
      </c>
      <c r="G13">
        <f>T_All_K1_N10_P0[[#This Row],[5]]</f>
        <v>4.2320072700000004</v>
      </c>
      <c r="H13">
        <f>T_All_K1_N10_P0[[#This Row],[6]]</f>
        <v>1.4793517279999999</v>
      </c>
      <c r="I13">
        <f>T_All_K1_N10_P0[[#This Row],[7]]</f>
        <v>4.1640665429999997</v>
      </c>
      <c r="J13">
        <f>T_All_K1_N10_P0[[#This Row],[8]]</f>
        <v>3.1298040619999998</v>
      </c>
      <c r="L13" s="1">
        <f t="shared" si="0"/>
        <v>9.8353898615579347E-2</v>
      </c>
    </row>
    <row r="16" spans="1:12" x14ac:dyDescent="0.25">
      <c r="K16" s="3" t="s">
        <v>31</v>
      </c>
      <c r="L16" s="1">
        <f>AVERAGE(L2:L13)</f>
        <v>0.13748595887214168</v>
      </c>
    </row>
    <row r="17" spans="1:12" x14ac:dyDescent="0.25">
      <c r="L17" s="1"/>
    </row>
    <row r="18" spans="1:12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2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8" t="s">
        <v>30</v>
      </c>
    </row>
    <row r="20" spans="1:12" x14ac:dyDescent="0.25">
      <c r="A20" s="8" t="s">
        <v>32</v>
      </c>
      <c r="B20" s="7">
        <f>AVERAGE(B2:B13)</f>
        <v>5.7379331996666663</v>
      </c>
      <c r="C20" s="7">
        <f t="shared" ref="C20:J20" si="1">AVERAGE(C2:C13)</f>
        <v>5.7583778084166655</v>
      </c>
      <c r="D20" s="7">
        <f t="shared" si="1"/>
        <v>6.4805543428333339</v>
      </c>
      <c r="E20" s="7">
        <f t="shared" si="1"/>
        <v>6.0827129115833332</v>
      </c>
      <c r="F20" s="7">
        <f t="shared" si="1"/>
        <v>5.9495086043333325</v>
      </c>
      <c r="G20" s="7">
        <f t="shared" si="1"/>
        <v>5.2562694985833334</v>
      </c>
      <c r="H20" s="7">
        <f t="shared" si="1"/>
        <v>5.2736963405833324</v>
      </c>
      <c r="I20" s="7">
        <f t="shared" si="1"/>
        <v>6.7736273008333354</v>
      </c>
      <c r="J20" s="7">
        <f t="shared" si="1"/>
        <v>4.8316875465833329</v>
      </c>
      <c r="K20" s="7"/>
      <c r="L20" s="7">
        <f>RSQ(B1:J1,B20:J20)</f>
        <v>8.0270097017830416E-2</v>
      </c>
    </row>
    <row r="41" spans="10:10" x14ac:dyDescent="0.25">
      <c r="J41" t="s">
        <v>43</v>
      </c>
    </row>
  </sheetData>
  <conditionalFormatting sqref="L1:L1048576">
    <cfRule type="containsBlanks" dxfId="11" priority="1">
      <formula>LEN(TRIM(L1))=0</formula>
    </cfRule>
    <cfRule type="cellIs" dxfId="10" priority="2" operator="between">
      <formula>0</formula>
      <formula>0.1</formula>
    </cfRule>
    <cfRule type="cellIs" dxfId="9" priority="3" operator="greaterThan">
      <formula>0.2</formula>
    </cfRule>
    <cfRule type="cellIs" dxfId="8" priority="4" operator="between">
      <formula>0.1</formula>
      <formula>0.2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F8F9B-68B4-4F1B-88F2-928C43112455}">
  <dimension ref="A1:L20"/>
  <sheetViews>
    <sheetView workbookViewId="0">
      <selection activeCell="L25" sqref="L25"/>
    </sheetView>
  </sheetViews>
  <sheetFormatPr defaultRowHeight="15" x14ac:dyDescent="0.25"/>
  <cols>
    <col min="1" max="1" width="67.5703125" bestFit="1" customWidth="1"/>
    <col min="11" max="11" width="14.140625" customWidth="1"/>
  </cols>
  <sheetData>
    <row r="1" spans="1:12" x14ac:dyDescent="0.25">
      <c r="A1" s="3" t="s">
        <v>11</v>
      </c>
      <c r="B1" s="3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K1" s="3" t="s">
        <v>44</v>
      </c>
      <c r="L1" s="3" t="s">
        <v>21</v>
      </c>
    </row>
    <row r="2" spans="1:12" x14ac:dyDescent="0.25">
      <c r="A2" t="str">
        <f>T_All_K1_N10_P0[[#This Row],[Identifier]]</f>
        <v>428da1312b4e9e175c8da20472e82f346f19060102702e896cd2ed510d1f82d3</v>
      </c>
      <c r="B2">
        <f>(T_All_K1_N10_P0[[#This Row],[1]]-T_All_K1_N10_P0[[#This Row],[0]])/ABS(T_All_K1_N10_P0[[#This Row],[0]])</f>
        <v>-0.52692211743936967</v>
      </c>
      <c r="C2">
        <f>(T_All_K1_N10_P0[[#This Row],[2]]-T_All_K1_N10_P0[[#This Row],[1]])/ABS(T_All_K1_N10_P0[[#This Row],[1]])</f>
        <v>2.5449683300943082</v>
      </c>
      <c r="D2">
        <f>(T_All_K1_N10_P0[[#This Row],[3]]-T_All_K1_N10_P0[[#This Row],[2]])/ABS(T_All_K1_N10_P0[[#This Row],[2]])</f>
        <v>-0.56813601346900067</v>
      </c>
      <c r="E2">
        <f>(T_All_K1_N10_P0[[#This Row],[4]]-T_All_K1_N10_P0[[#This Row],[3]])/ABS(T_All_K1_N10_P0[[#This Row],[3]])</f>
        <v>0.37370450393739624</v>
      </c>
      <c r="F2">
        <f>(T_All_K1_N10_P0[[#This Row],[5]]-T_All_K1_N10_P0[[#This Row],[4]])/ABS(T_All_K1_N10_P0[[#This Row],[4]])</f>
        <v>-0.11860676260438571</v>
      </c>
      <c r="G2">
        <f>(T_All_K1_N10_P0[[#This Row],[6]]-T_All_K1_N10_P0[[#This Row],[5]])/ABS(T_All_K1_N10_P0[[#This Row],[5]])</f>
        <v>7.8697959024729272E-2</v>
      </c>
      <c r="H2">
        <f>(T_All_K1_N10_P0[[#This Row],[7]]-T_All_K1_N10_P0[[#This Row],[6]])/ABS(T_All_K1_N10_P0[[#This Row],[6]])</f>
        <v>0.66811740780388029</v>
      </c>
      <c r="I2">
        <f>(T_All_K1_N10_P0[[#This Row],[8]]-T_All_K1_N10_P0[[#This Row],[7]])/ABS(T_All_K1_N10_P0[[#This Row],[7]])</f>
        <v>-0.21505646007627235</v>
      </c>
      <c r="K2">
        <f t="shared" ref="K2:K10" si="0">AVERAGE(B2:I2)</f>
        <v>0.27959585590891073</v>
      </c>
      <c r="L2">
        <f>(T_All_K1_N10_P0[[#This Row],[8]]-T_All_K1_N10_P0[[#This Row],[0]])/ABS(T_All_K1_N10_P0[[#This Row],[0]])</f>
        <v>0.23856818639012872</v>
      </c>
    </row>
    <row r="3" spans="1:12" x14ac:dyDescent="0.25">
      <c r="A3" t="str">
        <f>T_All_K1_N10_P0[[#This Row],[Identifier]]</f>
        <v>b96c0907522c2773f70c3772a20a66ed27faa11b69222bb914593d8c048e550f</v>
      </c>
      <c r="B3">
        <f>(T_All_K1_N10_P0[[#This Row],[1]]-T_All_K1_N10_P0[[#This Row],[0]])/ABS(T_All_K1_N10_P0[[#This Row],[0]])</f>
        <v>-0.34916960337641734</v>
      </c>
      <c r="C3">
        <f>(T_All_K1_N10_P0[[#This Row],[2]]-T_All_K1_N10_P0[[#This Row],[1]])/ABS(T_All_K1_N10_P0[[#This Row],[1]])</f>
        <v>0.78493282943567255</v>
      </c>
      <c r="D3">
        <f>(T_All_K1_N10_P0[[#This Row],[3]]-T_All_K1_N10_P0[[#This Row],[2]])/ABS(T_All_K1_N10_P0[[#This Row],[2]])</f>
        <v>-0.52547934575411115</v>
      </c>
      <c r="E3">
        <f>(T_All_K1_N10_P0[[#This Row],[4]]-T_All_K1_N10_P0[[#This Row],[3]])/ABS(T_All_K1_N10_P0[[#This Row],[3]])</f>
        <v>1.5111387239299943</v>
      </c>
      <c r="F3">
        <f>(T_All_K1_N10_P0[[#This Row],[5]]-T_All_K1_N10_P0[[#This Row],[4]])/ABS(T_All_K1_N10_P0[[#This Row],[4]])</f>
        <v>-0.26863177691210355</v>
      </c>
      <c r="G3">
        <f>(T_All_K1_N10_P0[[#This Row],[6]]-T_All_K1_N10_P0[[#This Row],[5]])/ABS(T_All_K1_N10_P0[[#This Row],[5]])</f>
        <v>-0.30769806348032369</v>
      </c>
      <c r="H3">
        <f>(T_All_K1_N10_P0[[#This Row],[7]]-T_All_K1_N10_P0[[#This Row],[6]])/ABS(T_All_K1_N10_P0[[#This Row],[6]])</f>
        <v>0.78621308989132643</v>
      </c>
      <c r="I3">
        <f>(T_All_K1_N10_P0[[#This Row],[8]]-T_All_K1_N10_P0[[#This Row],[7]])/ABS(T_All_K1_N10_P0[[#This Row],[7]])</f>
        <v>-0.4294582048776906</v>
      </c>
      <c r="K3">
        <f t="shared" si="0"/>
        <v>0.15023095610704335</v>
      </c>
      <c r="L3">
        <f>(T_All_K1_N10_P0[[#This Row],[8]]-T_All_K1_N10_P0[[#This Row],[0]])/ABS(T_All_K1_N10_P0[[#This Row],[0]])</f>
        <v>-0.28572097578696393</v>
      </c>
    </row>
    <row r="4" spans="1:12" x14ac:dyDescent="0.25">
      <c r="A4" t="str">
        <f>T_All_K1_N10_P0[[#This Row],[Identifier]]</f>
        <v>91c19dd683a61988ab47f9523ac0c69189fc5bf0bc129535df465e67ceaa3f5c</v>
      </c>
      <c r="B4">
        <f>(T_All_K1_N10_P0[[#This Row],[1]]-T_All_K1_N10_P0[[#This Row],[0]])/ABS(T_All_K1_N10_P0[[#This Row],[0]])</f>
        <v>0.27026137022245861</v>
      </c>
      <c r="C4">
        <f>(T_All_K1_N10_P0[[#This Row],[2]]-T_All_K1_N10_P0[[#This Row],[1]])/ABS(T_All_K1_N10_P0[[#This Row],[1]])</f>
        <v>-1.9288685332565031E-2</v>
      </c>
      <c r="D4">
        <f>(T_All_K1_N10_P0[[#This Row],[3]]-T_All_K1_N10_P0[[#This Row],[2]])/ABS(T_All_K1_N10_P0[[#This Row],[2]])</f>
        <v>0.27024449399462097</v>
      </c>
      <c r="E4">
        <f>(T_All_K1_N10_P0[[#This Row],[4]]-T_All_K1_N10_P0[[#This Row],[3]])/ABS(T_All_K1_N10_P0[[#This Row],[3]])</f>
        <v>-0.33887525742888991</v>
      </c>
      <c r="F4">
        <f>(T_All_K1_N10_P0[[#This Row],[5]]-T_All_K1_N10_P0[[#This Row],[4]])/ABS(T_All_K1_N10_P0[[#This Row],[4]])</f>
        <v>-5.4288939791973634E-2</v>
      </c>
      <c r="G4">
        <f>(T_All_K1_N10_P0[[#This Row],[6]]-T_All_K1_N10_P0[[#This Row],[5]])/ABS(T_All_K1_N10_P0[[#This Row],[5]])</f>
        <v>0.58231053671186428</v>
      </c>
      <c r="H4">
        <f>(T_All_K1_N10_P0[[#This Row],[7]]-T_All_K1_N10_P0[[#This Row],[6]])/ABS(T_All_K1_N10_P0[[#This Row],[6]])</f>
        <v>-0.2090676191768239</v>
      </c>
      <c r="I4">
        <f>(T_All_K1_N10_P0[[#This Row],[8]]-T_All_K1_N10_P0[[#This Row],[7]])/ABS(T_All_K1_N10_P0[[#This Row],[7]])</f>
        <v>-0.13102738899877472</v>
      </c>
      <c r="K4">
        <f t="shared" si="0"/>
        <v>4.6283563774989572E-2</v>
      </c>
      <c r="L4">
        <f>(T_All_K1_N10_P0[[#This Row],[8]]-T_All_K1_N10_P0[[#This Row],[0]])/ABS(T_All_K1_N10_P0[[#This Row],[0]])</f>
        <v>7.5971186130420143E-2</v>
      </c>
    </row>
    <row r="5" spans="1:12" x14ac:dyDescent="0.25">
      <c r="A5" t="str">
        <f>T_All_K1_N10_P0[[#This Row],[Identifier]]</f>
        <v>a77913344f83d12ba672562908a45473f0d39decfb73132ce324137df5880dca</v>
      </c>
      <c r="B5">
        <f>(T_All_K1_N10_P0[[#This Row],[1]]-T_All_K1_N10_P0[[#This Row],[0]])/ABS(T_All_K1_N10_P0[[#This Row],[0]])</f>
        <v>-5.9344884706120669E-2</v>
      </c>
      <c r="C5">
        <f>(T_All_K1_N10_P0[[#This Row],[2]]-T_All_K1_N10_P0[[#This Row],[1]])/ABS(T_All_K1_N10_P0[[#This Row],[1]])</f>
        <v>1.0766520920132845</v>
      </c>
      <c r="D5">
        <f>(T_All_K1_N10_P0[[#This Row],[3]]-T_All_K1_N10_P0[[#This Row],[2]])/ABS(T_All_K1_N10_P0[[#This Row],[2]])</f>
        <v>-0.32798790295093555</v>
      </c>
      <c r="E5">
        <f>(T_All_K1_N10_P0[[#This Row],[4]]-T_All_K1_N10_P0[[#This Row],[3]])/ABS(T_All_K1_N10_P0[[#This Row],[3]])</f>
        <v>-0.28653106271047174</v>
      </c>
      <c r="F5">
        <f>(T_All_K1_N10_P0[[#This Row],[5]]-T_All_K1_N10_P0[[#This Row],[4]])/ABS(T_All_K1_N10_P0[[#This Row],[4]])</f>
        <v>4.1831762644666551E-2</v>
      </c>
      <c r="G5">
        <f>(T_All_K1_N10_P0[[#This Row],[6]]-T_All_K1_N10_P0[[#This Row],[5]])/ABS(T_All_K1_N10_P0[[#This Row],[5]])</f>
        <v>1.04304111640796</v>
      </c>
      <c r="H5">
        <f>(T_All_K1_N10_P0[[#This Row],[7]]-T_All_K1_N10_P0[[#This Row],[6]])/ABS(T_All_K1_N10_P0[[#This Row],[6]])</f>
        <v>-0.500317103860764</v>
      </c>
      <c r="I5">
        <f>(T_All_K1_N10_P0[[#This Row],[8]]-T_All_K1_N10_P0[[#This Row],[7]])/ABS(T_All_K1_N10_P0[[#This Row],[7]])</f>
        <v>-0.56528867583795273</v>
      </c>
      <c r="K5">
        <f t="shared" si="0"/>
        <v>5.275691762495828E-2</v>
      </c>
      <c r="L5">
        <f>(T_All_K1_N10_P0[[#This Row],[8]]-T_All_K1_N10_P0[[#This Row],[0]])/ABS(T_All_K1_N10_P0[[#This Row],[0]])</f>
        <v>-0.56697151602104956</v>
      </c>
    </row>
    <row r="6" spans="1:12" x14ac:dyDescent="0.25">
      <c r="A6" t="str">
        <f>T_All_K1_N10_P0[[#This Row],[Identifier]]</f>
        <v>31dc9a7ab1e4d4612bdaf0e2738743d8249dd2a8c694e94911c68de321218e14</v>
      </c>
      <c r="B6">
        <f>(T_All_K1_N10_P0[[#This Row],[1]]-T_All_K1_N10_P0[[#This Row],[0]])/ABS(T_All_K1_N10_P0[[#This Row],[0]])</f>
        <v>0.27625554575278471</v>
      </c>
      <c r="C6">
        <f>(T_All_K1_N10_P0[[#This Row],[2]]-T_All_K1_N10_P0[[#This Row],[1]])/ABS(T_All_K1_N10_P0[[#This Row],[1]])</f>
        <v>-0.66872762408853448</v>
      </c>
      <c r="D6">
        <f>(T_All_K1_N10_P0[[#This Row],[3]]-T_All_K1_N10_P0[[#This Row],[2]])/ABS(T_All_K1_N10_P0[[#This Row],[2]])</f>
        <v>-8.2534030291672986E-2</v>
      </c>
      <c r="E6">
        <f>(T_All_K1_N10_P0[[#This Row],[4]]-T_All_K1_N10_P0[[#This Row],[3]])/ABS(T_All_K1_N10_P0[[#This Row],[3]])</f>
        <v>1.5927646022565161</v>
      </c>
      <c r="F6">
        <f>(T_All_K1_N10_P0[[#This Row],[5]]-T_All_K1_N10_P0[[#This Row],[4]])/ABS(T_All_K1_N10_P0[[#This Row],[4]])</f>
        <v>-3.6317469515102551E-3</v>
      </c>
      <c r="G6">
        <f>(T_All_K1_N10_P0[[#This Row],[6]]-T_All_K1_N10_P0[[#This Row],[5]])/ABS(T_All_K1_N10_P0[[#This Row],[5]])</f>
        <v>-0.19060770823180662</v>
      </c>
      <c r="H6">
        <f>(T_All_K1_N10_P0[[#This Row],[7]]-T_All_K1_N10_P0[[#This Row],[6]])/ABS(T_All_K1_N10_P0[[#This Row],[6]])</f>
        <v>-0.19378426639751903</v>
      </c>
      <c r="I6">
        <f>(T_All_K1_N10_P0[[#This Row],[8]]-T_All_K1_N10_P0[[#This Row],[7]])/ABS(T_All_K1_N10_P0[[#This Row],[7]])</f>
        <v>0.91035395954994747</v>
      </c>
      <c r="K6">
        <f t="shared" si="0"/>
        <v>0.20501109144977561</v>
      </c>
      <c r="L6">
        <f>(T_All_K1_N10_P0[[#This Row],[8]]-T_All_K1_N10_P0[[#This Row],[0]])/ABS(T_All_K1_N10_P0[[#This Row],[0]])</f>
        <v>0.24916548430754629</v>
      </c>
    </row>
    <row r="7" spans="1:12" x14ac:dyDescent="0.25">
      <c r="A7" t="str">
        <f>T_All_K1_N10_P0[[#This Row],[Identifier]]</f>
        <v>cc16d76232e5a5ec88990779fb25161754f2fcae1be1817d9b06db6ed01a0252</v>
      </c>
      <c r="B7">
        <f>(T_All_K1_N10_P0[[#This Row],[1]]-T_All_K1_N10_P0[[#This Row],[0]])/ABS(T_All_K1_N10_P0[[#This Row],[0]])</f>
        <v>-0.23484953244692486</v>
      </c>
      <c r="C7">
        <f>(T_All_K1_N10_P0[[#This Row],[2]]-T_All_K1_N10_P0[[#This Row],[1]])/ABS(T_All_K1_N10_P0[[#This Row],[1]])</f>
        <v>1.0039521727395284</v>
      </c>
      <c r="D7">
        <f>(T_All_K1_N10_P0[[#This Row],[3]]-T_All_K1_N10_P0[[#This Row],[2]])/ABS(T_All_K1_N10_P0[[#This Row],[2]])</f>
        <v>1.1550368782416266E-2</v>
      </c>
      <c r="E7">
        <f>(T_All_K1_N10_P0[[#This Row],[4]]-T_All_K1_N10_P0[[#This Row],[3]])/ABS(T_All_K1_N10_P0[[#This Row],[3]])</f>
        <v>-0.19237903114719601</v>
      </c>
      <c r="F7">
        <f>(T_All_K1_N10_P0[[#This Row],[5]]-T_All_K1_N10_P0[[#This Row],[4]])/ABS(T_All_K1_N10_P0[[#This Row],[4]])</f>
        <v>-0.20425456246674276</v>
      </c>
      <c r="G7">
        <f>(T_All_K1_N10_P0[[#This Row],[6]]-T_All_K1_N10_P0[[#This Row],[5]])/ABS(T_All_K1_N10_P0[[#This Row],[5]])</f>
        <v>0.41496965248478845</v>
      </c>
      <c r="H7">
        <f>(T_All_K1_N10_P0[[#This Row],[7]]-T_All_K1_N10_P0[[#This Row],[6]])/ABS(T_All_K1_N10_P0[[#This Row],[6]])</f>
        <v>0.42501047532455838</v>
      </c>
      <c r="I7">
        <f>(T_All_K1_N10_P0[[#This Row],[8]]-T_All_K1_N10_P0[[#This Row],[7]])/ABS(T_All_K1_N10_P0[[#This Row],[7]])</f>
        <v>-0.63099887906625762</v>
      </c>
      <c r="K7">
        <f t="shared" si="0"/>
        <v>7.4125083025521274E-2</v>
      </c>
      <c r="L7">
        <f>(T_All_K1_N10_P0[[#This Row],[8]]-T_All_K1_N10_P0[[#This Row],[0]])/ABS(T_All_K1_N10_P0[[#This Row],[0]])</f>
        <v>-0.25835457114890537</v>
      </c>
    </row>
    <row r="8" spans="1:12" x14ac:dyDescent="0.25">
      <c r="A8" t="str">
        <f>T_All_K1_N10_P0[[#This Row],[Identifier]]</f>
        <v>6495f98496f9faa9acbcdcf4e6d7f54f0fc9d6989ccd6cbe8d514c709be1ae47</v>
      </c>
      <c r="B8">
        <f>(T_All_K1_N10_P0[[#This Row],[1]]-T_All_K1_N10_P0[[#This Row],[0]])/ABS(T_All_K1_N10_P0[[#This Row],[0]])</f>
        <v>0.46403405179032664</v>
      </c>
      <c r="C8">
        <f>(T_All_K1_N10_P0[[#This Row],[2]]-T_All_K1_N10_P0[[#This Row],[1]])/ABS(T_All_K1_N10_P0[[#This Row],[1]])</f>
        <v>-0.34504551885704532</v>
      </c>
      <c r="D8">
        <f>(T_All_K1_N10_P0[[#This Row],[3]]-T_All_K1_N10_P0[[#This Row],[2]])/ABS(T_All_K1_N10_P0[[#This Row],[2]])</f>
        <v>0.26422523950128585</v>
      </c>
      <c r="E8">
        <f>(T_All_K1_N10_P0[[#This Row],[4]]-T_All_K1_N10_P0[[#This Row],[3]])/ABS(T_All_K1_N10_P0[[#This Row],[3]])</f>
        <v>-0.54007715322331062</v>
      </c>
      <c r="F8">
        <f>(T_All_K1_N10_P0[[#This Row],[5]]-T_All_K1_N10_P0[[#This Row],[4]])/ABS(T_All_K1_N10_P0[[#This Row],[4]])</f>
        <v>0.92468906766966485</v>
      </c>
      <c r="G8">
        <f>(T_All_K1_N10_P0[[#This Row],[6]]-T_All_K1_N10_P0[[#This Row],[5]])/ABS(T_All_K1_N10_P0[[#This Row],[5]])</f>
        <v>-0.4148440813530313</v>
      </c>
      <c r="H8">
        <f>(T_All_K1_N10_P0[[#This Row],[7]]-T_All_K1_N10_P0[[#This Row],[6]])/ABS(T_All_K1_N10_P0[[#This Row],[6]])</f>
        <v>0.55035703369427835</v>
      </c>
      <c r="I8">
        <f>(T_All_K1_N10_P0[[#This Row],[8]]-T_All_K1_N10_P0[[#This Row],[7]])/ABS(T_All_K1_N10_P0[[#This Row],[7]])</f>
        <v>-0.33618344016092505</v>
      </c>
      <c r="K8">
        <f t="shared" si="0"/>
        <v>7.0894399882655432E-2</v>
      </c>
      <c r="L8">
        <f>(T_All_K1_N10_P0[[#This Row],[8]]-T_All_K1_N10_P0[[#This Row],[0]])/ABS(T_All_K1_N10_P0[[#This Row],[0]])</f>
        <v>-0.35377504633376211</v>
      </c>
    </row>
    <row r="9" spans="1:12" x14ac:dyDescent="0.25">
      <c r="A9" t="str">
        <f>T_All_K1_N10_P0[[#This Row],[Identifier]]</f>
        <v>a0a4a0a999bb3c4c42ab65d8be5cc30bd395809ee6deffe8ff8849786856012c</v>
      </c>
      <c r="B9">
        <f>(T_All_K1_N10_P0[[#This Row],[1]]-T_All_K1_N10_P0[[#This Row],[0]])/ABS(T_All_K1_N10_P0[[#This Row],[0]])</f>
        <v>-8.2042641378370473E-2</v>
      </c>
      <c r="C9">
        <f>(T_All_K1_N10_P0[[#This Row],[2]]-T_All_K1_N10_P0[[#This Row],[1]])/ABS(T_All_K1_N10_P0[[#This Row],[1]])</f>
        <v>-0.351463419167094</v>
      </c>
      <c r="D9">
        <f>(T_All_K1_N10_P0[[#This Row],[3]]-T_All_K1_N10_P0[[#This Row],[2]])/ABS(T_All_K1_N10_P0[[#This Row],[2]])</f>
        <v>0.1238951428472906</v>
      </c>
      <c r="E9">
        <f>(T_All_K1_N10_P0[[#This Row],[4]]-T_All_K1_N10_P0[[#This Row],[3]])/ABS(T_All_K1_N10_P0[[#This Row],[3]])</f>
        <v>6.1272471463077738E-2</v>
      </c>
      <c r="F9">
        <f>(T_All_K1_N10_P0[[#This Row],[5]]-T_All_K1_N10_P0[[#This Row],[4]])/ABS(T_All_K1_N10_P0[[#This Row],[4]])</f>
        <v>-0.21417068605233716</v>
      </c>
      <c r="G9">
        <f>(T_All_K1_N10_P0[[#This Row],[6]]-T_All_K1_N10_P0[[#This Row],[5]])/ABS(T_All_K1_N10_P0[[#This Row],[5]])</f>
        <v>1.9847344222538321E-2</v>
      </c>
      <c r="H9">
        <f>(T_All_K1_N10_P0[[#This Row],[7]]-T_All_K1_N10_P0[[#This Row],[6]])/ABS(T_All_K1_N10_P0[[#This Row],[6]])</f>
        <v>3.49929983662218E-2</v>
      </c>
      <c r="I9">
        <f>(T_All_K1_N10_P0[[#This Row],[8]]-T_All_K1_N10_P0[[#This Row],[7]])/ABS(T_All_K1_N10_P0[[#This Row],[7]])</f>
        <v>0.21342168392850469</v>
      </c>
      <c r="K9">
        <f t="shared" si="0"/>
        <v>-2.4280888221271058E-2</v>
      </c>
      <c r="L9">
        <f>(T_All_K1_N10_P0[[#This Row],[8]]-T_All_K1_N10_P0[[#This Row],[0]])/ABS(T_All_K1_N10_P0[[#This Row],[0]])</f>
        <v>-0.28530254322283605</v>
      </c>
    </row>
    <row r="10" spans="1:12" x14ac:dyDescent="0.25">
      <c r="A10" t="str">
        <f>T_All_K1_N10_P0[[#This Row],[Identifier]]</f>
        <v>7f3b0e32ea2b17f7a0962be43fa129208723a474d1511b5ff8a21ed8c63aca65</v>
      </c>
      <c r="B10">
        <f>(T_All_K1_N10_P0[[#This Row],[1]]-T_All_K1_N10_P0[[#This Row],[0]])/ABS(T_All_K1_N10_P0[[#This Row],[0]])</f>
        <v>-2.3852844691979333E-2</v>
      </c>
      <c r="C10">
        <f>(T_All_K1_N10_P0[[#This Row],[2]]-T_All_K1_N10_P0[[#This Row],[1]])/ABS(T_All_K1_N10_P0[[#This Row],[1]])</f>
        <v>0.58585496228077361</v>
      </c>
      <c r="D10">
        <f>(T_All_K1_N10_P0[[#This Row],[3]]-T_All_K1_N10_P0[[#This Row],[2]])/ABS(T_All_K1_N10_P0[[#This Row],[2]])</f>
        <v>0.14975481077389816</v>
      </c>
      <c r="E10">
        <f>(T_All_K1_N10_P0[[#This Row],[4]]-T_All_K1_N10_P0[[#This Row],[3]])/ABS(T_All_K1_N10_P0[[#This Row],[3]])</f>
        <v>-0.28298971123038624</v>
      </c>
      <c r="F10">
        <f>(T_All_K1_N10_P0[[#This Row],[5]]-T_All_K1_N10_P0[[#This Row],[4]])/ABS(T_All_K1_N10_P0[[#This Row],[4]])</f>
        <v>-0.1107330968202465</v>
      </c>
      <c r="G10">
        <f>(T_All_K1_N10_P0[[#This Row],[6]]-T_All_K1_N10_P0[[#This Row],[5]])/ABS(T_All_K1_N10_P0[[#This Row],[5]])</f>
        <v>0.11228168709510379</v>
      </c>
      <c r="H10">
        <f>(T_All_K1_N10_P0[[#This Row],[7]]-T_All_K1_N10_P0[[#This Row],[6]])/ABS(T_All_K1_N10_P0[[#This Row],[6]])</f>
        <v>-0.38791782518067641</v>
      </c>
      <c r="I10">
        <f>(T_All_K1_N10_P0[[#This Row],[8]]-T_All_K1_N10_P0[[#This Row],[7]])/ABS(T_All_K1_N10_P0[[#This Row],[7]])</f>
        <v>-5.386078391829538E-2</v>
      </c>
      <c r="K10">
        <f t="shared" si="0"/>
        <v>-1.4328502114760409E-3</v>
      </c>
      <c r="L10">
        <f>(T_All_K1_N10_P0[[#This Row],[8]]-T_All_K1_N10_P0[[#This Row],[0]])/ABS(T_All_K1_N10_P0[[#This Row],[0]])</f>
        <v>-0.26899377838710264</v>
      </c>
    </row>
    <row r="11" spans="1:12" x14ac:dyDescent="0.25">
      <c r="A11" t="str">
        <f>T_All_K1_N10_P0[[#This Row],[Identifier]]</f>
        <v>6f5b156caaebfa4130a64c596e5794c2e55be72403d2ceb5c236b43d6cf082d1</v>
      </c>
      <c r="B11">
        <f>(T_All_K1_N10_P0[[#This Row],[1]]-T_All_K1_N10_P0[[#This Row],[0]])/ABS(T_All_K1_N10_P0[[#This Row],[0]])</f>
        <v>-0.25956332890143347</v>
      </c>
      <c r="C11">
        <f>(T_All_K1_N10_P0[[#This Row],[2]]-T_All_K1_N10_P0[[#This Row],[1]])/ABS(T_All_K1_N10_P0[[#This Row],[1]])</f>
        <v>0.21798836666768337</v>
      </c>
      <c r="D11">
        <f>(T_All_K1_N10_P0[[#This Row],[3]]-T_All_K1_N10_P0[[#This Row],[2]])/ABS(T_All_K1_N10_P0[[#This Row],[2]])</f>
        <v>0.24540105915193872</v>
      </c>
      <c r="E11">
        <f>(T_All_K1_N10_P0[[#This Row],[4]]-T_All_K1_N10_P0[[#This Row],[3]])/ABS(T_All_K1_N10_P0[[#This Row],[3]])</f>
        <v>9.2413041347088928E-2</v>
      </c>
      <c r="F11">
        <f>(T_All_K1_N10_P0[[#This Row],[5]]-T_All_K1_N10_P0[[#This Row],[4]])/ABS(T_All_K1_N10_P0[[#This Row],[4]])</f>
        <v>-0.33734852529165482</v>
      </c>
      <c r="G11">
        <f>(T_All_K1_N10_P0[[#This Row],[6]]-T_All_K1_N10_P0[[#This Row],[5]])/ABS(T_All_K1_N10_P0[[#This Row],[5]])</f>
        <v>7.2177517387260665E-2</v>
      </c>
      <c r="H11">
        <f>(T_All_K1_N10_P0[[#This Row],[7]]-T_All_K1_N10_P0[[#This Row],[6]])/ABS(T_All_K1_N10_P0[[#This Row],[6]])</f>
        <v>0.942594467360787</v>
      </c>
      <c r="I11">
        <f>(T_All_K1_N10_P0[[#This Row],[8]]-T_All_K1_N10_P0[[#This Row],[7]])/ABS(T_All_K1_N10_P0[[#This Row],[7]])</f>
        <v>-6.9307038542884045E-2</v>
      </c>
      <c r="K11">
        <f>AVERAGE(B11:I11)</f>
        <v>0.1130444448973483</v>
      </c>
      <c r="L11">
        <f>(T_All_K1_N10_P0[[#This Row],[8]]-T_All_K1_N10_P0[[#This Row],[0]])/ABS(T_All_K1_N10_P0[[#This Row],[0]])</f>
        <v>0.57604135382744459</v>
      </c>
    </row>
    <row r="12" spans="1:12" x14ac:dyDescent="0.25">
      <c r="A12" t="str">
        <f>T_All_K1_N10_P0[[#This Row],[Identifier]]</f>
        <v>6aa02f42db10b522f763f840e9e8a0bcb461f6f2f570d596a768a59dbfd88113</v>
      </c>
      <c r="B12">
        <f>(T_All_K1_N10_P0[[#This Row],[1]]-T_All_K1_N10_P0[[#This Row],[0]])/ABS(T_All_K1_N10_P0[[#This Row],[0]])</f>
        <v>0.84559346011727565</v>
      </c>
      <c r="C12">
        <f>(T_All_K1_N10_P0[[#This Row],[2]]-T_All_K1_N10_P0[[#This Row],[1]])/ABS(T_All_K1_N10_P0[[#This Row],[1]])</f>
        <v>-2.3174358593097175E-2</v>
      </c>
      <c r="D12">
        <f>(T_All_K1_N10_P0[[#This Row],[3]]-T_All_K1_N10_P0[[#This Row],[2]])/ABS(T_All_K1_N10_P0[[#This Row],[2]])</f>
        <v>-0.44323331480701439</v>
      </c>
      <c r="E12">
        <f>(T_All_K1_N10_P0[[#This Row],[4]]-T_All_K1_N10_P0[[#This Row],[3]])/ABS(T_All_K1_N10_P0[[#This Row],[3]])</f>
        <v>0.18740802115917046</v>
      </c>
      <c r="F12">
        <f>(T_All_K1_N10_P0[[#This Row],[5]]-T_All_K1_N10_P0[[#This Row],[4]])/ABS(T_All_K1_N10_P0[[#This Row],[4]])</f>
        <v>-9.0176724966641808E-2</v>
      </c>
      <c r="G12">
        <f>(T_All_K1_N10_P0[[#This Row],[6]]-T_All_K1_N10_P0[[#This Row],[5]])/ABS(T_All_K1_N10_P0[[#This Row],[5]])</f>
        <v>-0.46253185399677471</v>
      </c>
      <c r="H12">
        <f>(T_All_K1_N10_P0[[#This Row],[7]]-T_All_K1_N10_P0[[#This Row],[6]])/ABS(T_All_K1_N10_P0[[#This Row],[6]])</f>
        <v>4.2561828998832008</v>
      </c>
      <c r="I12">
        <f>(T_All_K1_N10_P0[[#This Row],[8]]-T_All_K1_N10_P0[[#This Row],[7]])/ABS(T_All_K1_N10_P0[[#This Row],[7]])</f>
        <v>-0.81029855423395114</v>
      </c>
      <c r="K12">
        <f t="shared" ref="K12:K13" si="1">AVERAGE(B12:I12)</f>
        <v>0.43247119682027096</v>
      </c>
      <c r="L12">
        <f>(T_All_K1_N10_P0[[#This Row],[8]]-T_All_K1_N10_P0[[#This Row],[0]])/ABS(T_All_K1_N10_P0[[#This Row],[0]])</f>
        <v>-0.4188647817149514</v>
      </c>
    </row>
    <row r="13" spans="1:12" x14ac:dyDescent="0.25">
      <c r="A13" t="str">
        <f>T_All_K1_N10_P0[[#This Row],[Identifier]]</f>
        <v>f3cc524e5f2cc476c53eea535c2fc45073cef06fbd25ecd7e5fe92d8b87b3d29</v>
      </c>
      <c r="B13">
        <f>(T_All_K1_N10_P0[[#This Row],[1]]-T_All_K1_N10_P0[[#This Row],[0]])/ABS(T_All_K1_N10_P0[[#This Row],[0]])</f>
        <v>0.20377591407499571</v>
      </c>
      <c r="C13">
        <f>(T_All_K1_N10_P0[[#This Row],[2]]-T_All_K1_N10_P0[[#This Row],[1]])/ABS(T_All_K1_N10_P0[[#This Row],[1]])</f>
        <v>-0.3588297886243148</v>
      </c>
      <c r="D13">
        <f>(T_All_K1_N10_P0[[#This Row],[3]]-T_All_K1_N10_P0[[#This Row],[2]])/ABS(T_All_K1_N10_P0[[#This Row],[2]])</f>
        <v>1.0180447520240139</v>
      </c>
      <c r="E13">
        <f>(T_All_K1_N10_P0[[#This Row],[4]]-T_All_K1_N10_P0[[#This Row],[3]])/ABS(T_All_K1_N10_P0[[#This Row],[3]])</f>
        <v>6.6399081194437867E-2</v>
      </c>
      <c r="F13">
        <f>(T_All_K1_N10_P0[[#This Row],[5]]-T_All_K1_N10_P0[[#This Row],[4]])/ABS(T_All_K1_N10_P0[[#This Row],[4]])</f>
        <v>-0.3697588176143643</v>
      </c>
      <c r="G13">
        <f>(T_All_K1_N10_P0[[#This Row],[6]]-T_All_K1_N10_P0[[#This Row],[5]])/ABS(T_All_K1_N10_P0[[#This Row],[5]])</f>
        <v>-0.65043733774115187</v>
      </c>
      <c r="H13">
        <f>(T_All_K1_N10_P0[[#This Row],[7]]-T_All_K1_N10_P0[[#This Row],[6]])/ABS(T_All_K1_N10_P0[[#This Row],[6]])</f>
        <v>1.8147914144999056</v>
      </c>
      <c r="I13">
        <f>(T_All_K1_N10_P0[[#This Row],[8]]-T_All_K1_N10_P0[[#This Row],[7]])/ABS(T_All_K1_N10_P0[[#This Row],[7]])</f>
        <v>-0.24837799067804184</v>
      </c>
      <c r="K13">
        <f t="shared" si="1"/>
        <v>0.18445090339193501</v>
      </c>
      <c r="L13">
        <f>(T_All_K1_N10_P0[[#This Row],[8]]-T_All_K1_N10_P0[[#This Row],[0]])/ABS(T_All_K1_N10_P0[[#This Row],[0]])</f>
        <v>-0.22581087861135332</v>
      </c>
    </row>
    <row r="16" spans="1:12" x14ac:dyDescent="0.25">
      <c r="J16" s="3" t="s">
        <v>20</v>
      </c>
      <c r="K16">
        <f>AVERAGE(K2:K13)</f>
        <v>0.13192922287088846</v>
      </c>
      <c r="L16">
        <f>AVERAGE(L2:L13)</f>
        <v>-0.12700399004761539</v>
      </c>
    </row>
    <row r="19" spans="1:12" x14ac:dyDescent="0.25">
      <c r="A19" s="7"/>
      <c r="B19" s="8" t="s">
        <v>12</v>
      </c>
      <c r="C19" s="9" t="s">
        <v>13</v>
      </c>
      <c r="D19" s="9" t="s">
        <v>14</v>
      </c>
      <c r="E19" s="9" t="s">
        <v>15</v>
      </c>
      <c r="F19" s="9" t="s">
        <v>16</v>
      </c>
      <c r="G19" s="9" t="s">
        <v>17</v>
      </c>
      <c r="H19" s="9" t="s">
        <v>18</v>
      </c>
      <c r="I19" s="9" t="s">
        <v>19</v>
      </c>
      <c r="J19" s="7"/>
      <c r="K19" s="8" t="s">
        <v>20</v>
      </c>
      <c r="L19" s="8" t="s">
        <v>21</v>
      </c>
    </row>
    <row r="20" spans="1:12" x14ac:dyDescent="0.25">
      <c r="A20" s="7" t="s">
        <v>45</v>
      </c>
      <c r="B20" s="7">
        <f>AVERAGE(B2:B13)</f>
        <v>4.3681282418102117E-2</v>
      </c>
      <c r="C20" s="7">
        <f t="shared" ref="C20:I20" si="2">AVERAGE(C2:C13)</f>
        <v>0.37065161321404999</v>
      </c>
      <c r="D20" s="7">
        <f t="shared" si="2"/>
        <v>1.1312104983560797E-2</v>
      </c>
      <c r="E20" s="7">
        <f t="shared" si="2"/>
        <v>0.18702068579561895</v>
      </c>
      <c r="F20" s="7">
        <f t="shared" si="2"/>
        <v>-6.7090067429802433E-2</v>
      </c>
      <c r="G20" s="7">
        <f t="shared" si="2"/>
        <v>2.4767230710929733E-2</v>
      </c>
      <c r="H20" s="7">
        <f t="shared" si="2"/>
        <v>0.68226441435069807</v>
      </c>
      <c r="I20" s="7">
        <f t="shared" si="2"/>
        <v>-0.19717348107604946</v>
      </c>
      <c r="J20" s="7"/>
      <c r="K20" s="7">
        <f>AVERAGE(B20:I20)</f>
        <v>0.13192922287088849</v>
      </c>
      <c r="L20" s="7">
        <f>('Relative Change'!I20-B20)/(ABS(B20))</f>
        <v>-5.5139123707214717</v>
      </c>
    </row>
  </sheetData>
  <conditionalFormatting sqref="A20:XFD20">
    <cfRule type="cellIs" dxfId="7" priority="1" operator="greaterThan">
      <formula>0</formula>
    </cfRule>
    <cfRule type="cellIs" dxfId="6" priority="2" operator="lessThan">
      <formula>0</formula>
    </cfRule>
  </conditionalFormatting>
  <conditionalFormatting sqref="K1:L24 K26:L1048576 K25">
    <cfRule type="cellIs" dxfId="5" priority="3" operator="lessThan">
      <formula>0</formula>
    </cfRule>
    <cfRule type="cellIs" dxfId="4" priority="4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4973E-8DEC-4FCB-A1C1-5843054343D6}">
  <dimension ref="A1:L103"/>
  <sheetViews>
    <sheetView tabSelected="1" topLeftCell="A73" zoomScale="70" zoomScaleNormal="70" workbookViewId="0">
      <selection activeCell="K39" sqref="K39"/>
    </sheetView>
  </sheetViews>
  <sheetFormatPr defaultRowHeight="15" x14ac:dyDescent="0.25"/>
  <cols>
    <col min="1" max="1" width="68.42578125" bestFit="1" customWidth="1"/>
    <col min="2" max="10" width="12" bestFit="1" customWidth="1"/>
    <col min="11" max="12" width="12.42578125" bestFit="1" customWidth="1"/>
  </cols>
  <sheetData>
    <row r="1" spans="1:12" x14ac:dyDescent="0.25">
      <c r="A1" t="s">
        <v>35</v>
      </c>
    </row>
    <row r="2" spans="1:1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39</v>
      </c>
      <c r="L2" t="s">
        <v>40</v>
      </c>
    </row>
    <row r="3" spans="1:12" x14ac:dyDescent="0.25">
      <c r="A3" t="s">
        <v>22</v>
      </c>
      <c r="B3">
        <v>5.6707540869999997</v>
      </c>
      <c r="C3">
        <v>2.6827083360000001</v>
      </c>
      <c r="D3">
        <v>9.5101160900000004</v>
      </c>
      <c r="E3">
        <v>4.1070766470000004</v>
      </c>
      <c r="F3">
        <v>5.6419096880000001</v>
      </c>
      <c r="G3">
        <v>4.9727410450000002</v>
      </c>
      <c r="H3">
        <v>5.3640856159999997</v>
      </c>
      <c r="I3">
        <v>8.9479245929999998</v>
      </c>
      <c r="J3">
        <v>7.0236156049999998</v>
      </c>
    </row>
    <row r="4" spans="1:12" x14ac:dyDescent="0.25">
      <c r="A4" t="s">
        <v>23</v>
      </c>
      <c r="B4">
        <v>7.8374335410000002</v>
      </c>
      <c r="C4">
        <v>5.1008399799999999</v>
      </c>
      <c r="D4">
        <v>9.1046567379999992</v>
      </c>
      <c r="E4">
        <v>4.3203476719999996</v>
      </c>
      <c r="F4">
        <v>10.848992340000001</v>
      </c>
      <c r="G4">
        <v>7.9346082500000001</v>
      </c>
      <c r="H4">
        <v>5.4931446570000002</v>
      </c>
      <c r="I4">
        <v>9.8119268910000006</v>
      </c>
      <c r="J4">
        <v>5.5981143820000003</v>
      </c>
    </row>
    <row r="5" spans="1:12" x14ac:dyDescent="0.25">
      <c r="A5" t="s">
        <v>24</v>
      </c>
      <c r="B5">
        <v>6.418538249</v>
      </c>
      <c r="C5">
        <v>8.1532211910000001</v>
      </c>
      <c r="D5">
        <v>7.995956273</v>
      </c>
      <c r="E5">
        <v>10.156819430000001</v>
      </c>
      <c r="F5">
        <v>6.7149246309999997</v>
      </c>
      <c r="G5">
        <v>6.3503784919999999</v>
      </c>
      <c r="H5">
        <v>10.048270799999999</v>
      </c>
      <c r="I5">
        <v>7.9475027469999997</v>
      </c>
      <c r="J5">
        <v>6.906162213</v>
      </c>
    </row>
    <row r="6" spans="1:12" x14ac:dyDescent="0.25">
      <c r="A6" t="s">
        <v>25</v>
      </c>
      <c r="B6">
        <v>3.6806850679999998</v>
      </c>
      <c r="C6">
        <v>3.4622552369999999</v>
      </c>
      <c r="D6">
        <v>7.1898995809999997</v>
      </c>
      <c r="E6">
        <v>4.8316994949999996</v>
      </c>
      <c r="F6">
        <v>3.447267504</v>
      </c>
      <c r="G6">
        <v>3.5914727800000001</v>
      </c>
      <c r="H6">
        <v>7.3375265580000004</v>
      </c>
      <c r="I6">
        <v>3.6664365210000001</v>
      </c>
      <c r="J6">
        <v>1.5938414750000001</v>
      </c>
    </row>
    <row r="7" spans="1:12" x14ac:dyDescent="0.25">
      <c r="A7" t="s">
        <v>26</v>
      </c>
      <c r="B7">
        <v>3.5151636769999999</v>
      </c>
      <c r="C7">
        <v>4.4862471370000003</v>
      </c>
      <c r="D7">
        <v>1.486169748</v>
      </c>
      <c r="E7">
        <v>1.363510169</v>
      </c>
      <c r="F7">
        <v>3.535260901</v>
      </c>
      <c r="G7">
        <v>3.5224217279999999</v>
      </c>
      <c r="H7">
        <v>2.8510209949999998</v>
      </c>
      <c r="I7">
        <v>2.2985379830000001</v>
      </c>
      <c r="J7">
        <v>4.3910211370000001</v>
      </c>
    </row>
    <row r="8" spans="1:12" x14ac:dyDescent="0.25">
      <c r="A8" t="s">
        <v>27</v>
      </c>
      <c r="B8">
        <v>4.972816828</v>
      </c>
      <c r="C8">
        <v>3.804953121</v>
      </c>
      <c r="D8">
        <v>7.6249440740000001</v>
      </c>
      <c r="E8">
        <v>7.7130149899999996</v>
      </c>
      <c r="F8">
        <v>6.2291926389999999</v>
      </c>
      <c r="G8">
        <v>4.9568516220000003</v>
      </c>
      <c r="H8">
        <v>7.0137946170000003</v>
      </c>
      <c r="I8">
        <v>9.9947308009999993</v>
      </c>
      <c r="J8">
        <v>3.688066869</v>
      </c>
    </row>
    <row r="9" spans="1:12" x14ac:dyDescent="0.25">
      <c r="A9" t="s">
        <v>28</v>
      </c>
      <c r="B9">
        <v>7.4614273600000001</v>
      </c>
      <c r="C9">
        <v>10.92378373</v>
      </c>
      <c r="D9">
        <v>7.1545811050000001</v>
      </c>
      <c r="E9">
        <v>9.0450020109999993</v>
      </c>
      <c r="F9">
        <v>4.1600030739999996</v>
      </c>
      <c r="G9">
        <v>8.0067124379999992</v>
      </c>
      <c r="H9">
        <v>4.6851751720000001</v>
      </c>
      <c r="I9">
        <v>7.2636942820000003</v>
      </c>
      <c r="J9">
        <v>4.8217605499999996</v>
      </c>
    </row>
    <row r="10" spans="1:12" x14ac:dyDescent="0.25">
      <c r="A10" t="s">
        <v>29</v>
      </c>
      <c r="B10">
        <v>13.60115461</v>
      </c>
      <c r="C10">
        <v>12.48527996</v>
      </c>
      <c r="D10">
        <v>8.0971607760000008</v>
      </c>
      <c r="E10">
        <v>9.1003596669999993</v>
      </c>
      <c r="F10">
        <v>9.6579611950000004</v>
      </c>
      <c r="G10">
        <v>7.5895090200000004</v>
      </c>
      <c r="H10">
        <v>7.7401406179999999</v>
      </c>
      <c r="I10">
        <v>8.0109913460000008</v>
      </c>
      <c r="J10">
        <v>9.7207106089999993</v>
      </c>
    </row>
    <row r="11" spans="1:12" x14ac:dyDescent="0.25">
      <c r="A11" t="s">
        <v>33</v>
      </c>
      <c r="B11">
        <v>5.0645134179999998</v>
      </c>
      <c r="C11">
        <v>4.9437103660000004</v>
      </c>
      <c r="D11">
        <v>7.8400076160000003</v>
      </c>
      <c r="E11">
        <v>9.0140864730000008</v>
      </c>
      <c r="F11">
        <v>6.4631927449999997</v>
      </c>
      <c r="G11">
        <v>5.747503397</v>
      </c>
      <c r="H11">
        <v>6.3928427750000001</v>
      </c>
      <c r="I11">
        <v>3.9129451089999998</v>
      </c>
      <c r="J11">
        <v>3.702190818</v>
      </c>
    </row>
    <row r="12" spans="1:12" x14ac:dyDescent="0.25">
      <c r="A12" t="s">
        <v>34</v>
      </c>
      <c r="B12">
        <v>3.5935724740000001</v>
      </c>
      <c r="C12">
        <v>2.6608128400000002</v>
      </c>
      <c r="D12">
        <v>3.2408390850000002</v>
      </c>
      <c r="E12">
        <v>4.0361444290000001</v>
      </c>
      <c r="F12">
        <v>4.4091368109999998</v>
      </c>
      <c r="G12">
        <v>2.9217210100000002</v>
      </c>
      <c r="H12">
        <v>3.132603579</v>
      </c>
      <c r="I12">
        <v>6.0853783809999999</v>
      </c>
      <c r="J12">
        <v>5.6636188269999996</v>
      </c>
    </row>
    <row r="13" spans="1:12" x14ac:dyDescent="0.25">
      <c r="A13" t="s">
        <v>41</v>
      </c>
      <c r="B13">
        <v>2.9964523870000002</v>
      </c>
      <c r="C13">
        <v>5.5302329290000003</v>
      </c>
      <c r="D13">
        <v>5.4020733280000002</v>
      </c>
      <c r="E13">
        <v>3.0076944600000002</v>
      </c>
      <c r="F13">
        <v>3.571360527</v>
      </c>
      <c r="G13">
        <v>3.249306931</v>
      </c>
      <c r="H13">
        <v>1.7463989719999999</v>
      </c>
      <c r="I13">
        <v>9.1793924130000004</v>
      </c>
      <c r="J13">
        <v>1.7413440120000001</v>
      </c>
    </row>
    <row r="14" spans="1:12" x14ac:dyDescent="0.25">
      <c r="A14" t="s">
        <v>42</v>
      </c>
      <c r="B14">
        <v>4.0426866969999997</v>
      </c>
      <c r="C14">
        <v>4.8664888739999999</v>
      </c>
      <c r="D14">
        <v>3.1202477000000002</v>
      </c>
      <c r="E14">
        <v>6.2967994960000002</v>
      </c>
      <c r="F14">
        <v>6.7149011969999997</v>
      </c>
      <c r="G14">
        <v>4.2320072700000004</v>
      </c>
      <c r="H14">
        <v>1.4793517279999999</v>
      </c>
      <c r="I14">
        <v>4.1640665429999997</v>
      </c>
      <c r="J14">
        <v>3.1298040619999998</v>
      </c>
    </row>
    <row r="29" spans="1:2" x14ac:dyDescent="0.25">
      <c r="A29" t="s">
        <v>10</v>
      </c>
    </row>
    <row r="30" spans="1:2" x14ac:dyDescent="0.25">
      <c r="A30" s="5" t="s">
        <v>0</v>
      </c>
      <c r="B30" s="3" t="s">
        <v>10</v>
      </c>
    </row>
    <row r="31" spans="1:2" x14ac:dyDescent="0.25">
      <c r="A31" s="6" t="str">
        <f>'R Squared'!A2</f>
        <v>428da1312b4e9e175c8da20472e82f346f19060102702e896cd2ed510d1f82d3</v>
      </c>
      <c r="B31" s="1">
        <f>'R Squared'!L2</f>
        <v>0.12240314049689069</v>
      </c>
    </row>
    <row r="32" spans="1:2" x14ac:dyDescent="0.25">
      <c r="A32" s="6" t="str">
        <f>'R Squared'!A3</f>
        <v>b96c0907522c2773f70c3772a20a66ed27faa11b69222bb914593d8c048e550f</v>
      </c>
      <c r="B32" s="1">
        <f>'R Squared'!L3</f>
        <v>9.5834560568402484E-4</v>
      </c>
    </row>
    <row r="33" spans="1:2" x14ac:dyDescent="0.25">
      <c r="A33" s="6" t="str">
        <f>'R Squared'!A4</f>
        <v>91c19dd683a61988ab47f9523ac0c69189fc5bf0bc129535df465e67ceaa3f5c</v>
      </c>
      <c r="B33" s="1">
        <f>'R Squared'!L4</f>
        <v>2.6480823810346851E-3</v>
      </c>
    </row>
    <row r="34" spans="1:2" x14ac:dyDescent="0.25">
      <c r="A34" s="6" t="str">
        <f>'R Squared'!A5</f>
        <v>a77913344f83d12ba672562908a45473f0d39decfb73132ce324137df5880dca</v>
      </c>
      <c r="B34" s="1">
        <f>'R Squared'!L5</f>
        <v>4.5007168241325217E-2</v>
      </c>
    </row>
    <row r="35" spans="1:2" x14ac:dyDescent="0.25">
      <c r="A35" s="6" t="str">
        <f>'R Squared'!A6</f>
        <v>31dc9a7ab1e4d4612bdaf0e2738743d8249dd2a8c694e94911c68de321218e14</v>
      </c>
      <c r="B35" s="1">
        <f>'R Squared'!L6</f>
        <v>5.3449103292046172E-3</v>
      </c>
    </row>
    <row r="36" spans="1:2" x14ac:dyDescent="0.25">
      <c r="A36" s="6" t="str">
        <f>'R Squared'!A7</f>
        <v>cc16d76232e5a5ec88990779fb25161754f2fcae1be1817d9b06db6ed01a0252</v>
      </c>
      <c r="B36" s="1">
        <f>'R Squared'!L7</f>
        <v>4.3188610821171203E-2</v>
      </c>
    </row>
    <row r="37" spans="1:2" x14ac:dyDescent="0.25">
      <c r="A37" s="6" t="str">
        <f>'R Squared'!A8</f>
        <v>6495f98496f9faa9acbcdcf4e6d7f54f0fc9d6989ccd6cbe8d514c709be1ae47</v>
      </c>
      <c r="B37" s="1">
        <f>'R Squared'!L8</f>
        <v>0.32325944405042567</v>
      </c>
    </row>
    <row r="38" spans="1:2" x14ac:dyDescent="0.25">
      <c r="A38" s="6" t="str">
        <f>'R Squared'!A9</f>
        <v>a0a4a0a999bb3c4c42ab65d8be5cc30bd395809ee6deffe8ff8849786856012c</v>
      </c>
      <c r="B38" s="1">
        <f>'R Squared'!L9</f>
        <v>0.43918802892931852</v>
      </c>
    </row>
    <row r="39" spans="1:2" x14ac:dyDescent="0.25">
      <c r="A39" s="6" t="str">
        <f>'R Squared'!A10</f>
        <v>7f3b0e32ea2b17f7a0962be43fa129208723a474d1511b5ff8a21ed8c63aca65</v>
      </c>
      <c r="B39" s="1">
        <f>'R Squared'!L10</f>
        <v>0.14743669250963681</v>
      </c>
    </row>
    <row r="40" spans="1:2" x14ac:dyDescent="0.25">
      <c r="A40" s="6" t="str">
        <f>'R Squared'!A11</f>
        <v>6f5b156caaebfa4130a64c596e5794c2e55be72403d2ceb5c236b43d6cf082d1</v>
      </c>
      <c r="B40" s="1">
        <f>'R Squared'!L11</f>
        <v>0.42154895340929199</v>
      </c>
    </row>
    <row r="41" spans="1:2" x14ac:dyDescent="0.25">
      <c r="A41" s="6" t="str">
        <f>'R Squared'!A12</f>
        <v>6aa02f42db10b522f763f840e9e8a0bcb461f6f2f570d596a768a59dbfd88113</v>
      </c>
      <c r="B41" s="1">
        <f>'R Squared'!L12</f>
        <v>4.9423107613730808E-4</v>
      </c>
    </row>
    <row r="42" spans="1:2" x14ac:dyDescent="0.25">
      <c r="A42" s="6" t="str">
        <f>'R Squared'!A13</f>
        <v>f3cc524e5f2cc476c53eea535c2fc45073cef06fbd25ecd7e5fe92d8b87b3d29</v>
      </c>
      <c r="B42" s="1">
        <f>'R Squared'!L13</f>
        <v>9.8353898615579347E-2</v>
      </c>
    </row>
    <row r="43" spans="1:2" x14ac:dyDescent="0.25">
      <c r="A43" t="str">
        <f>'R Squared'!K16</f>
        <v>Ave RSQ</v>
      </c>
      <c r="B43" s="1">
        <f>'R Squared'!L16</f>
        <v>0.13748595887214168</v>
      </c>
    </row>
    <row r="59" spans="1:2" x14ac:dyDescent="0.25">
      <c r="A59" t="s">
        <v>36</v>
      </c>
    </row>
    <row r="60" spans="1:2" x14ac:dyDescent="0.25">
      <c r="A60" t="str">
        <f>'Relative Change'!A1</f>
        <v>ID</v>
      </c>
      <c r="B60" t="s">
        <v>37</v>
      </c>
    </row>
    <row r="61" spans="1:2" x14ac:dyDescent="0.25">
      <c r="A61" t="str">
        <f>'Relative Change'!A2</f>
        <v>428da1312b4e9e175c8da20472e82f346f19060102702e896cd2ed510d1f82d3</v>
      </c>
      <c r="B61">
        <f>'Relative Change'!K2</f>
        <v>0.27959585590891073</v>
      </c>
    </row>
    <row r="62" spans="1:2" x14ac:dyDescent="0.25">
      <c r="A62" t="str">
        <f>'Relative Change'!A3</f>
        <v>b96c0907522c2773f70c3772a20a66ed27faa11b69222bb914593d8c048e550f</v>
      </c>
      <c r="B62">
        <f>'Relative Change'!K3</f>
        <v>0.15023095610704335</v>
      </c>
    </row>
    <row r="63" spans="1:2" x14ac:dyDescent="0.25">
      <c r="A63" t="str">
        <f>'Relative Change'!A4</f>
        <v>91c19dd683a61988ab47f9523ac0c69189fc5bf0bc129535df465e67ceaa3f5c</v>
      </c>
      <c r="B63">
        <f>'Relative Change'!K4</f>
        <v>4.6283563774989572E-2</v>
      </c>
    </row>
    <row r="64" spans="1:2" x14ac:dyDescent="0.25">
      <c r="A64" t="str">
        <f>'Relative Change'!A5</f>
        <v>a77913344f83d12ba672562908a45473f0d39decfb73132ce324137df5880dca</v>
      </c>
      <c r="B64">
        <f>'Relative Change'!K5</f>
        <v>5.275691762495828E-2</v>
      </c>
    </row>
    <row r="65" spans="1:2" x14ac:dyDescent="0.25">
      <c r="A65" t="str">
        <f>'Relative Change'!A6</f>
        <v>31dc9a7ab1e4d4612bdaf0e2738743d8249dd2a8c694e94911c68de321218e14</v>
      </c>
      <c r="B65">
        <f>'Relative Change'!K6</f>
        <v>0.20501109144977561</v>
      </c>
    </row>
    <row r="66" spans="1:2" x14ac:dyDescent="0.25">
      <c r="A66" t="str">
        <f>'Relative Change'!A7</f>
        <v>cc16d76232e5a5ec88990779fb25161754f2fcae1be1817d9b06db6ed01a0252</v>
      </c>
      <c r="B66">
        <f>'Relative Change'!K7</f>
        <v>7.4125083025521274E-2</v>
      </c>
    </row>
    <row r="67" spans="1:2" x14ac:dyDescent="0.25">
      <c r="A67" t="str">
        <f>'Relative Change'!A8</f>
        <v>6495f98496f9faa9acbcdcf4e6d7f54f0fc9d6989ccd6cbe8d514c709be1ae47</v>
      </c>
      <c r="B67">
        <f>'Relative Change'!K8</f>
        <v>7.0894399882655432E-2</v>
      </c>
    </row>
    <row r="68" spans="1:2" x14ac:dyDescent="0.25">
      <c r="A68" t="str">
        <f>'Relative Change'!A9</f>
        <v>a0a4a0a999bb3c4c42ab65d8be5cc30bd395809ee6deffe8ff8849786856012c</v>
      </c>
      <c r="B68">
        <f>'Relative Change'!K9</f>
        <v>-2.4280888221271058E-2</v>
      </c>
    </row>
    <row r="69" spans="1:2" x14ac:dyDescent="0.25">
      <c r="A69" t="str">
        <f>'Relative Change'!A10</f>
        <v>7f3b0e32ea2b17f7a0962be43fa129208723a474d1511b5ff8a21ed8c63aca65</v>
      </c>
      <c r="B69">
        <f>'Relative Change'!K10</f>
        <v>-1.4328502114760409E-3</v>
      </c>
    </row>
    <row r="70" spans="1:2" x14ac:dyDescent="0.25">
      <c r="A70" t="str">
        <f>'Relative Change'!A11</f>
        <v>6f5b156caaebfa4130a64c596e5794c2e55be72403d2ceb5c236b43d6cf082d1</v>
      </c>
      <c r="B70">
        <f>'Relative Change'!K11</f>
        <v>0.1130444448973483</v>
      </c>
    </row>
    <row r="71" spans="1:2" x14ac:dyDescent="0.25">
      <c r="A71" t="str">
        <f>'Relative Change'!A12</f>
        <v>6aa02f42db10b522f763f840e9e8a0bcb461f6f2f570d596a768a59dbfd88113</v>
      </c>
      <c r="B71">
        <f>'Relative Change'!K12</f>
        <v>0.43247119682027096</v>
      </c>
    </row>
    <row r="72" spans="1:2" x14ac:dyDescent="0.25">
      <c r="A72" t="str">
        <f>'Relative Change'!A13</f>
        <v>f3cc524e5f2cc476c53eea535c2fc45073cef06fbd25ecd7e5fe92d8b87b3d29</v>
      </c>
      <c r="B72">
        <f>'Relative Change'!K13</f>
        <v>0.18445090339193501</v>
      </c>
    </row>
    <row r="73" spans="1:2" x14ac:dyDescent="0.25">
      <c r="A73" t="str">
        <f>'Relative Change'!J16</f>
        <v>Average</v>
      </c>
      <c r="B73">
        <f>'Relative Change'!K16</f>
        <v>0.13192922287088846</v>
      </c>
    </row>
    <row r="90" spans="1:9" x14ac:dyDescent="0.25">
      <c r="A90" t="s">
        <v>38</v>
      </c>
    </row>
    <row r="91" spans="1:9" x14ac:dyDescent="0.25">
      <c r="A91" t="s">
        <v>11</v>
      </c>
      <c r="B91" t="str">
        <f>'Relative Change'!B1</f>
        <v>0-1</v>
      </c>
      <c r="C91" t="str">
        <f>'Relative Change'!C1</f>
        <v>1-2</v>
      </c>
      <c r="D91" t="str">
        <f>'Relative Change'!D1</f>
        <v>2-3</v>
      </c>
      <c r="E91" t="str">
        <f>'Relative Change'!E1</f>
        <v>3-4</v>
      </c>
      <c r="F91" t="str">
        <f>'Relative Change'!F1</f>
        <v>4-5</v>
      </c>
      <c r="G91" t="str">
        <f>'Relative Change'!G1</f>
        <v>5-6</v>
      </c>
      <c r="H91" t="str">
        <f>'Relative Change'!H1</f>
        <v>6-7</v>
      </c>
      <c r="I91" t="str">
        <f>'Relative Change'!I1</f>
        <v>7-8</v>
      </c>
    </row>
    <row r="92" spans="1:9" x14ac:dyDescent="0.25">
      <c r="A92" t="str">
        <f>'Relative Change'!A2</f>
        <v>428da1312b4e9e175c8da20472e82f346f19060102702e896cd2ed510d1f82d3</v>
      </c>
      <c r="B92">
        <f>'Relative Change'!B2</f>
        <v>-0.52692211743936967</v>
      </c>
      <c r="C92">
        <f>'Relative Change'!C2</f>
        <v>2.5449683300943082</v>
      </c>
      <c r="D92">
        <f>'Relative Change'!D2</f>
        <v>-0.56813601346900067</v>
      </c>
      <c r="E92">
        <f>'Relative Change'!E2</f>
        <v>0.37370450393739624</v>
      </c>
      <c r="F92">
        <f>'Relative Change'!F2</f>
        <v>-0.11860676260438571</v>
      </c>
      <c r="G92">
        <f>'Relative Change'!G2</f>
        <v>7.8697959024729272E-2</v>
      </c>
      <c r="H92">
        <f>'Relative Change'!H2</f>
        <v>0.66811740780388029</v>
      </c>
      <c r="I92">
        <f>'Relative Change'!I2</f>
        <v>-0.21505646007627235</v>
      </c>
    </row>
    <row r="93" spans="1:9" x14ac:dyDescent="0.25">
      <c r="A93" t="str">
        <f>'Relative Change'!A3</f>
        <v>b96c0907522c2773f70c3772a20a66ed27faa11b69222bb914593d8c048e550f</v>
      </c>
      <c r="B93">
        <f>'Relative Change'!B3</f>
        <v>-0.34916960337641734</v>
      </c>
      <c r="C93">
        <f>'Relative Change'!C3</f>
        <v>0.78493282943567255</v>
      </c>
      <c r="D93">
        <f>'Relative Change'!D3</f>
        <v>-0.52547934575411115</v>
      </c>
      <c r="E93">
        <f>'Relative Change'!E3</f>
        <v>1.5111387239299943</v>
      </c>
      <c r="F93">
        <f>'Relative Change'!F3</f>
        <v>-0.26863177691210355</v>
      </c>
      <c r="G93">
        <f>'Relative Change'!G3</f>
        <v>-0.30769806348032369</v>
      </c>
      <c r="H93">
        <f>'Relative Change'!H3</f>
        <v>0.78621308989132643</v>
      </c>
      <c r="I93">
        <f>'Relative Change'!I3</f>
        <v>-0.4294582048776906</v>
      </c>
    </row>
    <row r="94" spans="1:9" x14ac:dyDescent="0.25">
      <c r="A94" t="str">
        <f>'Relative Change'!A4</f>
        <v>91c19dd683a61988ab47f9523ac0c69189fc5bf0bc129535df465e67ceaa3f5c</v>
      </c>
      <c r="B94">
        <f>'Relative Change'!B4</f>
        <v>0.27026137022245861</v>
      </c>
      <c r="C94">
        <f>'Relative Change'!C4</f>
        <v>-1.9288685332565031E-2</v>
      </c>
      <c r="D94">
        <f>'Relative Change'!D4</f>
        <v>0.27024449399462097</v>
      </c>
      <c r="E94">
        <f>'Relative Change'!E4</f>
        <v>-0.33887525742888991</v>
      </c>
      <c r="F94">
        <f>'Relative Change'!F4</f>
        <v>-5.4288939791973634E-2</v>
      </c>
      <c r="G94">
        <f>'Relative Change'!G4</f>
        <v>0.58231053671186428</v>
      </c>
      <c r="H94">
        <f>'Relative Change'!H4</f>
        <v>-0.2090676191768239</v>
      </c>
      <c r="I94">
        <f>'Relative Change'!I4</f>
        <v>-0.13102738899877472</v>
      </c>
    </row>
    <row r="95" spans="1:9" x14ac:dyDescent="0.25">
      <c r="A95" t="str">
        <f>'Relative Change'!A5</f>
        <v>a77913344f83d12ba672562908a45473f0d39decfb73132ce324137df5880dca</v>
      </c>
      <c r="B95">
        <f>'Relative Change'!B5</f>
        <v>-5.9344884706120669E-2</v>
      </c>
      <c r="C95">
        <f>'Relative Change'!C5</f>
        <v>1.0766520920132845</v>
      </c>
      <c r="D95">
        <f>'Relative Change'!D5</f>
        <v>-0.32798790295093555</v>
      </c>
      <c r="E95">
        <f>'Relative Change'!E5</f>
        <v>-0.28653106271047174</v>
      </c>
      <c r="F95">
        <f>'Relative Change'!F5</f>
        <v>4.1831762644666551E-2</v>
      </c>
      <c r="G95">
        <f>'Relative Change'!G5</f>
        <v>1.04304111640796</v>
      </c>
      <c r="H95">
        <f>'Relative Change'!H5</f>
        <v>-0.500317103860764</v>
      </c>
      <c r="I95">
        <f>'Relative Change'!I5</f>
        <v>-0.56528867583795273</v>
      </c>
    </row>
    <row r="96" spans="1:9" x14ac:dyDescent="0.25">
      <c r="A96" t="str">
        <f>'Relative Change'!A6</f>
        <v>31dc9a7ab1e4d4612bdaf0e2738743d8249dd2a8c694e94911c68de321218e14</v>
      </c>
      <c r="B96">
        <f>'Relative Change'!B6</f>
        <v>0.27625554575278471</v>
      </c>
      <c r="C96">
        <f>'Relative Change'!C6</f>
        <v>-0.66872762408853448</v>
      </c>
      <c r="D96">
        <f>'Relative Change'!D6</f>
        <v>-8.2534030291672986E-2</v>
      </c>
      <c r="E96">
        <f>'Relative Change'!E6</f>
        <v>1.5927646022565161</v>
      </c>
      <c r="F96">
        <f>'Relative Change'!F6</f>
        <v>-3.6317469515102551E-3</v>
      </c>
      <c r="G96">
        <f>'Relative Change'!G6</f>
        <v>-0.19060770823180662</v>
      </c>
      <c r="H96">
        <f>'Relative Change'!H6</f>
        <v>-0.19378426639751903</v>
      </c>
      <c r="I96">
        <f>'Relative Change'!I6</f>
        <v>0.91035395954994747</v>
      </c>
    </row>
    <row r="97" spans="1:9" x14ac:dyDescent="0.25">
      <c r="A97" t="str">
        <f>'Relative Change'!A7</f>
        <v>cc16d76232e5a5ec88990779fb25161754f2fcae1be1817d9b06db6ed01a0252</v>
      </c>
      <c r="B97">
        <f>'Relative Change'!B7</f>
        <v>-0.23484953244692486</v>
      </c>
      <c r="C97">
        <f>'Relative Change'!C7</f>
        <v>1.0039521727395284</v>
      </c>
      <c r="D97">
        <f>'Relative Change'!D7</f>
        <v>1.1550368782416266E-2</v>
      </c>
      <c r="E97">
        <f>'Relative Change'!E7</f>
        <v>-0.19237903114719601</v>
      </c>
      <c r="F97">
        <f>'Relative Change'!F7</f>
        <v>-0.20425456246674276</v>
      </c>
      <c r="G97">
        <f>'Relative Change'!G7</f>
        <v>0.41496965248478845</v>
      </c>
      <c r="H97">
        <f>'Relative Change'!H7</f>
        <v>0.42501047532455838</v>
      </c>
      <c r="I97">
        <f>'Relative Change'!I7</f>
        <v>-0.63099887906625762</v>
      </c>
    </row>
    <row r="98" spans="1:9" x14ac:dyDescent="0.25">
      <c r="A98" t="str">
        <f>'Relative Change'!A8</f>
        <v>6495f98496f9faa9acbcdcf4e6d7f54f0fc9d6989ccd6cbe8d514c709be1ae47</v>
      </c>
      <c r="B98">
        <f>'Relative Change'!B8</f>
        <v>0.46403405179032664</v>
      </c>
      <c r="C98">
        <f>'Relative Change'!C8</f>
        <v>-0.34504551885704532</v>
      </c>
      <c r="D98">
        <f>'Relative Change'!D8</f>
        <v>0.26422523950128585</v>
      </c>
      <c r="E98">
        <f>'Relative Change'!E8</f>
        <v>-0.54007715322331062</v>
      </c>
      <c r="F98">
        <f>'Relative Change'!F8</f>
        <v>0.92468906766966485</v>
      </c>
      <c r="G98">
        <f>'Relative Change'!G8</f>
        <v>-0.4148440813530313</v>
      </c>
      <c r="H98">
        <f>'Relative Change'!H8</f>
        <v>0.55035703369427835</v>
      </c>
      <c r="I98">
        <f>'Relative Change'!I8</f>
        <v>-0.33618344016092505</v>
      </c>
    </row>
    <row r="99" spans="1:9" x14ac:dyDescent="0.25">
      <c r="A99" t="str">
        <f>'Relative Change'!A9</f>
        <v>a0a4a0a999bb3c4c42ab65d8be5cc30bd395809ee6deffe8ff8849786856012c</v>
      </c>
      <c r="B99">
        <f>'Relative Change'!B9</f>
        <v>-8.2042641378370473E-2</v>
      </c>
      <c r="C99">
        <f>'Relative Change'!C9</f>
        <v>-0.351463419167094</v>
      </c>
      <c r="D99">
        <f>'Relative Change'!D9</f>
        <v>0.1238951428472906</v>
      </c>
      <c r="E99">
        <f>'Relative Change'!E9</f>
        <v>6.1272471463077738E-2</v>
      </c>
      <c r="F99">
        <f>'Relative Change'!F9</f>
        <v>-0.21417068605233716</v>
      </c>
      <c r="G99">
        <f>'Relative Change'!G9</f>
        <v>1.9847344222538321E-2</v>
      </c>
      <c r="H99">
        <f>'Relative Change'!H9</f>
        <v>3.49929983662218E-2</v>
      </c>
      <c r="I99">
        <f>'Relative Change'!I9</f>
        <v>0.21342168392850469</v>
      </c>
    </row>
    <row r="100" spans="1:9" x14ac:dyDescent="0.25">
      <c r="A100" t="str">
        <f>'Relative Change'!A10</f>
        <v>7f3b0e32ea2b17f7a0962be43fa129208723a474d1511b5ff8a21ed8c63aca65</v>
      </c>
      <c r="B100">
        <f>'Relative Change'!B10</f>
        <v>-2.3852844691979333E-2</v>
      </c>
      <c r="C100">
        <f>'Relative Change'!C10</f>
        <v>0.58585496228077361</v>
      </c>
      <c r="D100">
        <f>'Relative Change'!D10</f>
        <v>0.14975481077389816</v>
      </c>
      <c r="E100">
        <f>'Relative Change'!E10</f>
        <v>-0.28298971123038624</v>
      </c>
      <c r="F100">
        <f>'Relative Change'!F10</f>
        <v>-0.1107330968202465</v>
      </c>
      <c r="G100">
        <f>'Relative Change'!G10</f>
        <v>0.11228168709510379</v>
      </c>
      <c r="H100">
        <f>'Relative Change'!H10</f>
        <v>-0.38791782518067641</v>
      </c>
      <c r="I100">
        <f>'Relative Change'!I10</f>
        <v>-5.386078391829538E-2</v>
      </c>
    </row>
    <row r="101" spans="1:9" x14ac:dyDescent="0.25">
      <c r="A101" t="str">
        <f>'Relative Change'!A11</f>
        <v>6f5b156caaebfa4130a64c596e5794c2e55be72403d2ceb5c236b43d6cf082d1</v>
      </c>
      <c r="B101">
        <f>'Relative Change'!B11</f>
        <v>-0.25956332890143347</v>
      </c>
      <c r="C101">
        <f>'Relative Change'!C11</f>
        <v>0.21798836666768337</v>
      </c>
      <c r="D101">
        <f>'Relative Change'!D11</f>
        <v>0.24540105915193872</v>
      </c>
      <c r="E101">
        <f>'Relative Change'!E11</f>
        <v>9.2413041347088928E-2</v>
      </c>
      <c r="F101">
        <f>'Relative Change'!F11</f>
        <v>-0.33734852529165482</v>
      </c>
      <c r="G101">
        <f>'Relative Change'!G11</f>
        <v>7.2177517387260665E-2</v>
      </c>
      <c r="H101">
        <f>'Relative Change'!H11</f>
        <v>0.942594467360787</v>
      </c>
      <c r="I101">
        <f>'Relative Change'!I11</f>
        <v>-6.9307038542884045E-2</v>
      </c>
    </row>
    <row r="102" spans="1:9" x14ac:dyDescent="0.25">
      <c r="A102" t="str">
        <f>'Relative Change'!A12</f>
        <v>6aa02f42db10b522f763f840e9e8a0bcb461f6f2f570d596a768a59dbfd88113</v>
      </c>
      <c r="B102">
        <f>'Relative Change'!B12</f>
        <v>0.84559346011727565</v>
      </c>
      <c r="C102">
        <f>'Relative Change'!C12</f>
        <v>-2.3174358593097175E-2</v>
      </c>
      <c r="D102">
        <f>'Relative Change'!D12</f>
        <v>-0.44323331480701439</v>
      </c>
      <c r="E102">
        <f>'Relative Change'!E12</f>
        <v>0.18740802115917046</v>
      </c>
      <c r="F102">
        <f>'Relative Change'!F12</f>
        <v>-9.0176724966641808E-2</v>
      </c>
      <c r="G102">
        <f>'Relative Change'!G12</f>
        <v>-0.46253185399677471</v>
      </c>
      <c r="H102">
        <f>'Relative Change'!H12</f>
        <v>4.2561828998832008</v>
      </c>
      <c r="I102">
        <f>'Relative Change'!I12</f>
        <v>-0.81029855423395114</v>
      </c>
    </row>
    <row r="103" spans="1:9" x14ac:dyDescent="0.25">
      <c r="A103" t="str">
        <f>'Relative Change'!A13</f>
        <v>f3cc524e5f2cc476c53eea535c2fc45073cef06fbd25ecd7e5fe92d8b87b3d29</v>
      </c>
      <c r="B103">
        <f>'Relative Change'!B13</f>
        <v>0.20377591407499571</v>
      </c>
      <c r="C103">
        <f>'Relative Change'!C13</f>
        <v>-0.3588297886243148</v>
      </c>
      <c r="D103">
        <f>'Relative Change'!D13</f>
        <v>1.0180447520240139</v>
      </c>
      <c r="E103">
        <f>'Relative Change'!E13</f>
        <v>6.6399081194437867E-2</v>
      </c>
      <c r="F103">
        <f>'Relative Change'!F13</f>
        <v>-0.3697588176143643</v>
      </c>
      <c r="G103">
        <f>'Relative Change'!G13</f>
        <v>-0.65043733774115187</v>
      </c>
      <c r="H103">
        <f>'Relative Change'!H13</f>
        <v>1.8147914144999056</v>
      </c>
      <c r="I103">
        <f>'Relative Change'!I13</f>
        <v>-0.24837799067804184</v>
      </c>
    </row>
  </sheetData>
  <phoneticPr fontId="1" type="noConversion"/>
  <conditionalFormatting sqref="B30:B42">
    <cfRule type="containsBlanks" dxfId="3" priority="1">
      <formula>LEN(TRIM(B30))=0</formula>
    </cfRule>
    <cfRule type="cellIs" dxfId="2" priority="2" operator="between">
      <formula>0</formula>
      <formula>0.1</formula>
    </cfRule>
    <cfRule type="cellIs" dxfId="1" priority="3" operator="greaterThan">
      <formula>0.2</formula>
    </cfRule>
    <cfRule type="cellIs" dxfId="0" priority="4" operator="between">
      <formula>0.1</formula>
      <formula>0.2</formula>
    </cfRule>
  </conditionalFormatting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F9AE41-864E-4DEE-83D1-140C60385C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T-All_K1 N10 P0</vt:lpstr>
      <vt:lpstr>R Squared</vt:lpstr>
      <vt:lpstr>Relative Change</vt:lpstr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Theresa Sobb</dc:creator>
  <cp:lastModifiedBy>Theresa Sobb</cp:lastModifiedBy>
  <dcterms:created xsi:type="dcterms:W3CDTF">2025-11-26T04:05:36Z</dcterms:created>
  <dcterms:modified xsi:type="dcterms:W3CDTF">2025-12-16T03:11:16Z</dcterms:modified>
</cp:coreProperties>
</file>