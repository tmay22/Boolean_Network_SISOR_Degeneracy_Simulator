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9E61BCB1-F3A1-4134-A62B-780B54F74CAE}" xr6:coauthVersionLast="47" xr6:coauthVersionMax="47" xr10:uidLastSave="{00000000-0000-0000-0000-000000000000}"/>
  <bookViews>
    <workbookView xWindow="-120" yWindow="-120" windowWidth="26580" windowHeight="15840" activeTab="2" xr2:uid="{5CF18307-C3AA-4F8D-B283-B3AED6997DE3}"/>
  </bookViews>
  <sheets>
    <sheet name="T-All_K2 N10 P50" sheetId="9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'T-All_K2 N10 P50'!$A$1:$L$11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G3" i="3"/>
  <c r="G4" i="3"/>
  <c r="G5" i="3"/>
  <c r="G6" i="3"/>
  <c r="G7" i="3"/>
  <c r="G8" i="3"/>
  <c r="G9" i="3"/>
  <c r="G10" i="3"/>
  <c r="G11" i="3"/>
  <c r="G2" i="3"/>
  <c r="C2" i="3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B11" i="3"/>
  <c r="B3" i="3"/>
  <c r="B4" i="3"/>
  <c r="B5" i="3"/>
  <c r="B6" i="3"/>
  <c r="B7" i="3"/>
  <c r="B8" i="3"/>
  <c r="B9" i="3"/>
  <c r="B10" i="3"/>
  <c r="B2" i="3"/>
  <c r="A11" i="3"/>
  <c r="A3" i="3"/>
  <c r="A4" i="3"/>
  <c r="A5" i="3"/>
  <c r="A6" i="3"/>
  <c r="A7" i="3"/>
  <c r="A8" i="3"/>
  <c r="A9" i="3"/>
  <c r="A10" i="3"/>
  <c r="A2" i="3"/>
  <c r="B2" i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A3" i="1"/>
  <c r="A4" i="1"/>
  <c r="A5" i="1"/>
  <c r="A6" i="1"/>
  <c r="A7" i="1"/>
  <c r="A8" i="1"/>
  <c r="A9" i="1"/>
  <c r="A10" i="1"/>
  <c r="A11" i="1"/>
  <c r="A2" i="1"/>
  <c r="G14" i="3" l="1"/>
  <c r="C18" i="3"/>
  <c r="D18" i="3"/>
  <c r="B18" i="3"/>
  <c r="B18" i="1"/>
  <c r="C18" i="1"/>
  <c r="D18" i="1"/>
  <c r="E18" i="1"/>
  <c r="G10" i="1" l="1"/>
  <c r="F9" i="3"/>
  <c r="F10" i="3"/>
  <c r="G11" i="1"/>
  <c r="F11" i="3"/>
  <c r="G9" i="1"/>
  <c r="F2" i="3"/>
  <c r="G5" i="1"/>
  <c r="G7" i="1"/>
  <c r="F7" i="3"/>
  <c r="F8" i="3"/>
  <c r="G6" i="1"/>
  <c r="F4" i="3"/>
  <c r="F6" i="3"/>
  <c r="F5" i="3"/>
  <c r="G3" i="1"/>
  <c r="G8" i="1"/>
  <c r="G4" i="1"/>
  <c r="F3" i="3"/>
  <c r="G2" i="1"/>
  <c r="F14" i="3" l="1"/>
  <c r="G14" i="1"/>
  <c r="G18" i="1"/>
  <c r="F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95C471-2484-47C8-B024-8E9C25AD967F}" keepAlive="1" name="Query - T-All_K2 N10 P50" description="Connection to the 'T-All_K2 N10 P50' query in the workbook." type="5" refreshedVersion="8" background="1" saveData="1">
    <dbPr connection="Provider=Microsoft.Mashup.OleDb.1;Data Source=$Workbook$;Location=&quot;T-All_K2 N10 P50&quot;;Extended Properties=&quot;&quot;" command="SELECT * FROM [T-All_K2 N10 P50]"/>
  </connection>
</connections>
</file>

<file path=xl/sharedStrings.xml><?xml version="1.0" encoding="utf-8"?>
<sst xmlns="http://schemas.openxmlformats.org/spreadsheetml/2006/main" count="40" uniqueCount="33">
  <si>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</si>
  <si>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</si>
  <si>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</si>
  <si>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</si>
  <si>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</si>
  <si>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</si>
  <si>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</si>
  <si>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</si>
  <si>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</si>
  <si>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</si>
  <si>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</si>
  <si>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</si>
  <si>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</si>
  <si>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</si>
  <si>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</si>
  <si>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</si>
  <si>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</si>
  <si>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</si>
  <si>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</si>
  <si>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</si>
  <si>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Average</t>
  </si>
  <si>
    <t>Max-Min</t>
  </si>
  <si>
    <t>Average per Timestep</t>
  </si>
  <si>
    <t>Average per ID</t>
  </si>
  <si>
    <t>472af148fd3498347d20b71253dc9f3028a039cad3de77a98fd7b626cf21a807</t>
  </si>
  <si>
    <t>75d4fda8e147392934770d0d11975bfeb9a7baa1196e5df562221f79a4441958</t>
  </si>
  <si>
    <t>c506b29ad4cf43d5937f09d8fb9e38e66c05d46a4dc11a5e909874f271a64c75</t>
  </si>
  <si>
    <t>48e28fb65687724c3c29c12f28cf49db656a4d42cda2b8f6cc6f9e6309e7d957</t>
  </si>
  <si>
    <t>30c417ec8a83f00ca94e0ed9c154050013613bb9aef57abf92a7eff3bcdb9ae7</t>
  </si>
  <si>
    <t>e76023d3e4111f640f14acee494fa76d8d5977384485fd9968eed3f16303486f</t>
  </si>
  <si>
    <t>1ec2dccd55d824e37ff45caea38943839d6f16e0f86b4914d05fe3401ef2132f</t>
  </si>
  <si>
    <t>d592e5d4933a19941b99cd329b86543d6903320b73000e78702a1a77873a8e7d</t>
  </si>
  <si>
    <t>b381addaf3fa7d329aa3929bb7332a63dd7f679b309a99e5de908048415f7339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</si>
</sst>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NumberFormat="1"/>
  </cellXfs>
  <cellStyles count="1">
    <cellStyle name="Normal" xfId="0" builtinId="0"/>
  </cellStyles>
  <dxfs count="9"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24DEC0-307E-417E-89E9-15D1967B459D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EBBC7-2B14-4FA7-8C99-629663764C56}" name="T_All_K2_N10_P50" displayName="T_All_K2_N10_P50" ref="A1:L11" tableType="queryTable" totalsRowShown="0">
  <autoFilter ref="A1:L11" xr:uid="{0F5EBBC7-2B14-4FA7-8C99-629663764C56}"/>
  <tableColumns count="12">
    <tableColumn id="1" xr3:uid="{929A57DF-92D4-4252-A4BD-9F60CFD1F885}" uniqueName="1" name="Identifier" queryTableFieldId="1" dataDxfId="8"/>
    <tableColumn id="2" xr3:uid="{6F9A4993-44A1-4D1E-A1D7-2DDDEB35836B}" uniqueName="2" name="0" queryTableFieldId="2"/>
    <tableColumn id="3" xr3:uid="{340E6FDA-BA43-480A-8567-28065BA2D62F}" uniqueName="3" name="1" queryTableFieldId="3"/>
    <tableColumn id="4" xr3:uid="{6A919B7F-3BE8-4B6D-A804-1B1AAA09D38C}" uniqueName="4" name="2" queryTableFieldId="4"/>
    <tableColumn id="5" xr3:uid="{287A627E-D03F-4A38-8FAC-116EF32651DF}" uniqueName="5" name="3" queryTableFieldId="5"/>
    <tableColumn id="6" xr3:uid="{F366ECAE-2FB0-4862-B586-D10FB1CC3145}" uniqueName="6" name="4" queryTableFieldId="6"/>
    <tableColumn id="7" xr3:uid="{085C66CC-187A-4354-AC07-4656826704DA}" uniqueName="7" name="5" queryTableFieldId="7"/>
    <tableColumn id="8" xr3:uid="{78833DAD-1AFA-47CA-9B56-9F99C5D3F70A}" uniqueName="8" name="6" queryTableFieldId="8"/>
    <tableColumn id="9" xr3:uid="{A4F0D81B-DF9F-4B4D-9E00-C191C7C0E4E0}" uniqueName="9" name="7" queryTableFieldId="9"/>
    <tableColumn id="10" xr3:uid="{380C29BE-A411-4B28-BA8F-0C715CA8656F}" uniqueName="10" name="8" queryTableFieldId="10"/>
    <tableColumn id="11" xr3:uid="{2B64A2BA-E8C2-4912-BB9B-786D57893414}" uniqueName="11" name="9" queryTableFieldId="11"/>
    <tableColumn id="12" xr3:uid="{ACD2D52F-4B1F-4451-AC8D-F7917A1E3ABF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C3D8-39D9-457B-BFC3-DAC38074C13E}">
  <dimension ref="A1:L11"/>
  <sheetViews>
    <sheetView workbookViewId="0"/>
  </sheetViews>
  <sheetFormatPr defaultRowHeight="15" x14ac:dyDescent="0.25"/>
  <cols>
    <col min="1" max="1" width="68.7109375" bestFit="1" customWidth="1"/>
    <col min="2" max="5" width="12" bestFit="1" customWidth="1"/>
    <col min="6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8" t="s">
        <v>24</v>
      </c>
      <c r="B2">
        <v>2.3751267269916791</v>
      </c>
      <c r="C2">
        <v>3.0352269000779968</v>
      </c>
      <c r="D2">
        <v>3.3346237990861649</v>
      </c>
      <c r="E2">
        <v>4.4650272546994749</v>
      </c>
    </row>
    <row r="3" spans="1:12" x14ac:dyDescent="0.25">
      <c r="A3" s="8" t="s">
        <v>24</v>
      </c>
      <c r="B3">
        <v>9.7771481858629308</v>
      </c>
      <c r="C3">
        <v>6.7046507494469827</v>
      </c>
      <c r="D3">
        <v>5.7636529652389585</v>
      </c>
      <c r="E3">
        <v>5.4490193349969172</v>
      </c>
    </row>
    <row r="4" spans="1:12" x14ac:dyDescent="0.25">
      <c r="A4" s="8" t="s">
        <v>25</v>
      </c>
      <c r="B4">
        <v>14.634058577012508</v>
      </c>
      <c r="C4">
        <v>6.4283358138902802</v>
      </c>
      <c r="D4">
        <v>10.799140854248641</v>
      </c>
      <c r="E4">
        <v>7.1749107363224205</v>
      </c>
    </row>
    <row r="5" spans="1:12" x14ac:dyDescent="0.25">
      <c r="A5" s="8" t="s">
        <v>26</v>
      </c>
      <c r="B5">
        <v>6.7601316635037794</v>
      </c>
      <c r="C5">
        <v>6.8338903263224617</v>
      </c>
      <c r="D5">
        <v>8.9442836765687996</v>
      </c>
      <c r="E5">
        <v>11.766271807422056</v>
      </c>
    </row>
    <row r="6" spans="1:12" x14ac:dyDescent="0.25">
      <c r="A6" s="8" t="s">
        <v>27</v>
      </c>
      <c r="B6">
        <v>5.5595214142996063</v>
      </c>
      <c r="C6">
        <v>7.6724345227876816</v>
      </c>
      <c r="D6">
        <v>9.5798800274576728</v>
      </c>
      <c r="E6">
        <v>8.0956932335824643</v>
      </c>
    </row>
    <row r="7" spans="1:12" x14ac:dyDescent="0.25">
      <c r="A7" s="8" t="s">
        <v>28</v>
      </c>
      <c r="B7">
        <v>5.2894156399321686</v>
      </c>
      <c r="C7">
        <v>5.5251299590730198</v>
      </c>
      <c r="D7">
        <v>4.1521733187931975</v>
      </c>
      <c r="E7">
        <v>4.7934169513365639</v>
      </c>
    </row>
    <row r="8" spans="1:12" x14ac:dyDescent="0.25">
      <c r="A8" s="8" t="s">
        <v>29</v>
      </c>
      <c r="B8">
        <v>8.4978217531681217</v>
      </c>
      <c r="C8">
        <v>2.7953183776735115</v>
      </c>
      <c r="D8">
        <v>9.9395325633055069</v>
      </c>
      <c r="E8">
        <v>3.5971670325399909</v>
      </c>
    </row>
    <row r="9" spans="1:12" x14ac:dyDescent="0.25">
      <c r="A9" s="8" t="s">
        <v>30</v>
      </c>
      <c r="B9">
        <v>4.189253114674071</v>
      </c>
      <c r="C9">
        <v>4.815226792470523</v>
      </c>
      <c r="D9">
        <v>5.4560436969219017</v>
      </c>
      <c r="E9">
        <v>6.4442073251380778</v>
      </c>
    </row>
    <row r="10" spans="1:12" x14ac:dyDescent="0.25">
      <c r="A10" s="8" t="s">
        <v>31</v>
      </c>
      <c r="B10">
        <v>4.4710791086793007</v>
      </c>
      <c r="C10">
        <v>4.7486790513028758</v>
      </c>
      <c r="D10">
        <v>4.9379284656216429</v>
      </c>
      <c r="E10">
        <v>2.3139669232259834</v>
      </c>
    </row>
    <row r="11" spans="1:12" x14ac:dyDescent="0.25">
      <c r="A11" s="8" t="s">
        <v>32</v>
      </c>
      <c r="B11">
        <v>7.8706601046206677</v>
      </c>
      <c r="C11">
        <v>6.1162499746489098</v>
      </c>
      <c r="D11">
        <v>8.451587260724942</v>
      </c>
      <c r="E11">
        <v>1.5735625558648652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G18"/>
  <sheetViews>
    <sheetView zoomScale="130" zoomScaleNormal="130" workbookViewId="0">
      <selection activeCell="G2" sqref="G2"/>
    </sheetView>
  </sheetViews>
  <sheetFormatPr defaultRowHeight="15" x14ac:dyDescent="0.25"/>
  <cols>
    <col min="1" max="1" width="20.42578125" customWidth="1"/>
  </cols>
  <sheetData>
    <row r="1" spans="1:7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G1" s="2" t="s">
        <v>12</v>
      </c>
    </row>
    <row r="2" spans="1:7" x14ac:dyDescent="0.25">
      <c r="A2" t="str">
        <f>T_All_K2_N10_P50[[#This Row],[Identifier]]</f>
        <v>472af148fd3498347d20b71253dc9f3028a039cad3de77a98fd7b626cf21a807</v>
      </c>
      <c r="B2">
        <f>T_All_K2_N10_P50[[#This Row],[0]]</f>
        <v>2.3751267269916791</v>
      </c>
      <c r="C2">
        <f>T_All_K2_N10_P50[[#This Row],[1]]</f>
        <v>3.0352269000779968</v>
      </c>
      <c r="D2">
        <f>T_All_K2_N10_P50[[#This Row],[2]]</f>
        <v>3.3346237990861649</v>
      </c>
      <c r="E2">
        <f>T_All_K2_N10_P50[[#This Row],[3]]</f>
        <v>4.4650272546994749</v>
      </c>
      <c r="G2" s="3">
        <f>RSQ(B2:E2,$B$1:$E$1)</f>
        <v>0.94469910148929848</v>
      </c>
    </row>
    <row r="3" spans="1:7" x14ac:dyDescent="0.25">
      <c r="A3" t="str">
        <f>T_All_K2_N10_P50[[#This Row],[Identifier]]</f>
        <v>472af148fd3498347d20b71253dc9f3028a039cad3de77a98fd7b626cf21a807</v>
      </c>
      <c r="B3">
        <f>T_All_K2_N10_P50[[#This Row],[0]]</f>
        <v>9.7771481858629308</v>
      </c>
      <c r="C3">
        <f>T_All_K2_N10_P50[[#This Row],[1]]</f>
        <v>6.7046507494469827</v>
      </c>
      <c r="D3">
        <f>T_All_K2_N10_P50[[#This Row],[2]]</f>
        <v>5.7636529652389585</v>
      </c>
      <c r="E3">
        <f>T_All_K2_N10_P50[[#This Row],[3]]</f>
        <v>5.4490193349969172</v>
      </c>
      <c r="G3" s="3">
        <f>RSQ(B3:E3,$B$1:$E$1)</f>
        <v>0.82795630124675657</v>
      </c>
    </row>
    <row r="4" spans="1:7" x14ac:dyDescent="0.25">
      <c r="A4" t="str">
        <f>T_All_K2_N10_P50[[#This Row],[Identifier]]</f>
        <v>75d4fda8e147392934770d0d11975bfeb9a7baa1196e5df562221f79a4441958</v>
      </c>
      <c r="B4">
        <f>T_All_K2_N10_P50[[#This Row],[0]]</f>
        <v>14.634058577012508</v>
      </c>
      <c r="C4">
        <f>T_All_K2_N10_P50[[#This Row],[1]]</f>
        <v>6.4283358138902802</v>
      </c>
      <c r="D4">
        <f>T_All_K2_N10_P50[[#This Row],[2]]</f>
        <v>10.799140854248641</v>
      </c>
      <c r="E4">
        <f>T_All_K2_N10_P50[[#This Row],[3]]</f>
        <v>7.1749107363224205</v>
      </c>
      <c r="G4" s="3">
        <f>RSQ(B4:E4,$B$1:$E$1)</f>
        <v>0.38039320435781404</v>
      </c>
    </row>
    <row r="5" spans="1:7" x14ac:dyDescent="0.25">
      <c r="A5" t="str">
        <f>T_All_K2_N10_P50[[#This Row],[Identifier]]</f>
        <v>c506b29ad4cf43d5937f09d8fb9e38e66c05d46a4dc11a5e909874f271a64c75</v>
      </c>
      <c r="B5">
        <f>T_All_K2_N10_P50[[#This Row],[0]]</f>
        <v>6.7601316635037794</v>
      </c>
      <c r="C5">
        <f>T_All_K2_N10_P50[[#This Row],[1]]</f>
        <v>6.8338903263224617</v>
      </c>
      <c r="D5">
        <f>T_All_K2_N10_P50[[#This Row],[2]]</f>
        <v>8.9442836765687996</v>
      </c>
      <c r="E5">
        <f>T_All_K2_N10_P50[[#This Row],[3]]</f>
        <v>11.766271807422056</v>
      </c>
      <c r="G5" s="3">
        <f>RSQ(B5:E5,$B$1:$E$1)</f>
        <v>0.88129264331121981</v>
      </c>
    </row>
    <row r="6" spans="1:7" x14ac:dyDescent="0.25">
      <c r="A6" t="str">
        <f>T_All_K2_N10_P50[[#This Row],[Identifier]]</f>
        <v>48e28fb65687724c3c29c12f28cf49db656a4d42cda2b8f6cc6f9e6309e7d957</v>
      </c>
      <c r="B6">
        <f>T_All_K2_N10_P50[[#This Row],[0]]</f>
        <v>5.5595214142996063</v>
      </c>
      <c r="C6">
        <f>T_All_K2_N10_P50[[#This Row],[1]]</f>
        <v>7.6724345227876816</v>
      </c>
      <c r="D6">
        <f>T_All_K2_N10_P50[[#This Row],[2]]</f>
        <v>9.5798800274576728</v>
      </c>
      <c r="E6">
        <f>T_All_K2_N10_P50[[#This Row],[3]]</f>
        <v>8.0956932335824643</v>
      </c>
      <c r="G6" s="3">
        <f>RSQ(B6:E6,$B$1:$E$1)</f>
        <v>0.54747930276461276</v>
      </c>
    </row>
    <row r="7" spans="1:7" x14ac:dyDescent="0.25">
      <c r="A7" t="str">
        <f>T_All_K2_N10_P50[[#This Row],[Identifier]]</f>
        <v>30c417ec8a83f00ca94e0ed9c154050013613bb9aef57abf92a7eff3bcdb9ae7</v>
      </c>
      <c r="B7">
        <f>T_All_K2_N10_P50[[#This Row],[0]]</f>
        <v>5.2894156399321686</v>
      </c>
      <c r="C7">
        <f>T_All_K2_N10_P50[[#This Row],[1]]</f>
        <v>5.5251299590730198</v>
      </c>
      <c r="D7">
        <f>T_All_K2_N10_P50[[#This Row],[2]]</f>
        <v>4.1521733187931975</v>
      </c>
      <c r="E7">
        <f>T_All_K2_N10_P50[[#This Row],[3]]</f>
        <v>4.7934169513365639</v>
      </c>
      <c r="G7" s="3">
        <f>RSQ(B7:E7,$B$1:$E$1)</f>
        <v>0.36982014208537339</v>
      </c>
    </row>
    <row r="8" spans="1:7" x14ac:dyDescent="0.25">
      <c r="A8" t="str">
        <f>T_All_K2_N10_P50[[#This Row],[Identifier]]</f>
        <v>e76023d3e4111f640f14acee494fa76d8d5977384485fd9968eed3f16303486f</v>
      </c>
      <c r="B8">
        <f>T_All_K2_N10_P50[[#This Row],[0]]</f>
        <v>8.4978217531681217</v>
      </c>
      <c r="C8">
        <f>T_All_K2_N10_P50[[#This Row],[1]]</f>
        <v>2.7953183776735115</v>
      </c>
      <c r="D8">
        <f>T_All_K2_N10_P50[[#This Row],[2]]</f>
        <v>9.9395325633055069</v>
      </c>
      <c r="E8">
        <f>T_All_K2_N10_P50[[#This Row],[3]]</f>
        <v>3.5971670325399909</v>
      </c>
      <c r="G8" s="3">
        <f>RSQ(B8:E8,$B$1:$E$1)</f>
        <v>7.5895406345111854E-2</v>
      </c>
    </row>
    <row r="9" spans="1:7" x14ac:dyDescent="0.25">
      <c r="A9" t="str">
        <f>T_All_K2_N10_P50[[#This Row],[Identifier]]</f>
        <v>1ec2dccd55d824e37ff45caea38943839d6f16e0f86b4914d05fe3401ef2132f</v>
      </c>
      <c r="B9">
        <f>T_All_K2_N10_P50[[#This Row],[0]]</f>
        <v>4.189253114674071</v>
      </c>
      <c r="C9">
        <f>T_All_K2_N10_P50[[#This Row],[1]]</f>
        <v>4.815226792470523</v>
      </c>
      <c r="D9">
        <f>T_All_K2_N10_P50[[#This Row],[2]]</f>
        <v>5.4560436969219017</v>
      </c>
      <c r="E9">
        <f>T_All_K2_N10_P50[[#This Row],[3]]</f>
        <v>6.4442073251380778</v>
      </c>
      <c r="G9" s="3">
        <f>RSQ(B9:E9,$B$1:$E$1)</f>
        <v>0.98621725019677009</v>
      </c>
    </row>
    <row r="10" spans="1:7" x14ac:dyDescent="0.25">
      <c r="A10" t="str">
        <f>T_All_K2_N10_P50[[#This Row],[Identifier]]</f>
        <v>d592e5d4933a19941b99cd329b86543d6903320b73000e78702a1a77873a8e7d</v>
      </c>
      <c r="B10">
        <f>T_All_K2_N10_P50[[#This Row],[0]]</f>
        <v>4.4710791086793007</v>
      </c>
      <c r="C10">
        <f>T_All_K2_N10_P50[[#This Row],[1]]</f>
        <v>4.7486790513028758</v>
      </c>
      <c r="D10">
        <f>T_All_K2_N10_P50[[#This Row],[2]]</f>
        <v>4.9379284656216429</v>
      </c>
      <c r="E10">
        <f>T_All_K2_N10_P50[[#This Row],[3]]</f>
        <v>2.3139669232259834</v>
      </c>
      <c r="G10" s="3">
        <f>RSQ(B10:E10,$B$1:$E$1)</f>
        <v>0.44349853467299605</v>
      </c>
    </row>
    <row r="11" spans="1:7" x14ac:dyDescent="0.25">
      <c r="A11" t="str">
        <f>T_All_K2_N10_P50[[#This Row],[Identifier]]</f>
        <v>b381addaf3fa7d329aa3929bb7332a63dd7f679b309a99e5de908048415f7339</v>
      </c>
      <c r="B11">
        <f>T_All_K2_N10_P50[[#This Row],[0]]</f>
        <v>7.8706601046206677</v>
      </c>
      <c r="C11">
        <f>T_All_K2_N10_P50[[#This Row],[1]]</f>
        <v>6.1162499746489098</v>
      </c>
      <c r="D11">
        <f>T_All_K2_N10_P50[[#This Row],[2]]</f>
        <v>8.451587260724942</v>
      </c>
      <c r="E11">
        <f>T_All_K2_N10_P50[[#This Row],[3]]</f>
        <v>1.5735625558648652</v>
      </c>
      <c r="G11" s="3">
        <f>RSQ(B11:E11,$B$1:$E$1)</f>
        <v>0.4706951193284985</v>
      </c>
    </row>
    <row r="14" spans="1:7" x14ac:dyDescent="0.25">
      <c r="F14" s="2" t="s">
        <v>13</v>
      </c>
      <c r="G14" s="3">
        <f>AVERAGE(G2:G11)</f>
        <v>0.59279470057984507</v>
      </c>
    </row>
    <row r="15" spans="1:7" x14ac:dyDescent="0.25">
      <c r="G15" s="3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6" t="s">
        <v>14</v>
      </c>
    </row>
    <row r="18" spans="1:7" x14ac:dyDescent="0.25">
      <c r="A18" s="6" t="s">
        <v>15</v>
      </c>
      <c r="B18" s="5">
        <f>AVERAGE(B2:B11)</f>
        <v>6.9424216288744818</v>
      </c>
      <c r="C18" s="5">
        <f t="shared" ref="C18:E18" si="0">AVERAGE(C2:C11)</f>
        <v>5.467514246769424</v>
      </c>
      <c r="D18" s="5">
        <f t="shared" si="0"/>
        <v>7.1358846627967427</v>
      </c>
      <c r="E18" s="5">
        <f t="shared" si="0"/>
        <v>5.5673243155128826</v>
      </c>
      <c r="F18" s="5"/>
      <c r="G18" s="5">
        <f>RSQ(B1:E1,B18:E18)</f>
        <v>0.12901905380563319</v>
      </c>
    </row>
  </sheetData>
  <conditionalFormatting sqref="G1:G1048576">
    <cfRule type="containsBlanks" dxfId="7" priority="1">
      <formula>LEN(TRIM(G1))=0</formula>
    </cfRule>
    <cfRule type="cellIs" dxfId="6" priority="2" operator="between">
      <formula>0</formula>
      <formula>0.1</formula>
    </cfRule>
    <cfRule type="cellIs" dxfId="5" priority="3" operator="greaterThan">
      <formula>0.2</formula>
    </cfRule>
    <cfRule type="cellIs" dxfId="4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G18"/>
  <sheetViews>
    <sheetView tabSelected="1" topLeftCell="A3" zoomScaleNormal="100" workbookViewId="0">
      <selection activeCell="G19" sqref="G19"/>
    </sheetView>
  </sheetViews>
  <sheetFormatPr defaultRowHeight="15" x14ac:dyDescent="0.25"/>
  <cols>
    <col min="1" max="1" width="67.5703125" bestFit="1" customWidth="1"/>
    <col min="2" max="2" width="9.5703125" bestFit="1" customWidth="1"/>
    <col min="6" max="6" width="17.5703125" customWidth="1"/>
    <col min="7" max="7" width="9.5703125" bestFit="1" customWidth="1"/>
  </cols>
  <sheetData>
    <row r="1" spans="1:7" x14ac:dyDescent="0.25">
      <c r="A1" s="2" t="s">
        <v>16</v>
      </c>
      <c r="B1" s="2" t="s">
        <v>17</v>
      </c>
      <c r="C1" s="4" t="s">
        <v>18</v>
      </c>
      <c r="D1" s="4" t="s">
        <v>19</v>
      </c>
      <c r="F1" s="2" t="s">
        <v>23</v>
      </c>
      <c r="G1" s="2" t="s">
        <v>21</v>
      </c>
    </row>
    <row r="2" spans="1:7" x14ac:dyDescent="0.25">
      <c r="A2" t="str">
        <f>T_All_K2_N10_P50[[#This Row],[Identifier]]</f>
        <v>472af148fd3498347d20b71253dc9f3028a039cad3de77a98fd7b626cf21a807</v>
      </c>
      <c r="B2">
        <f>(T_All_K2_N10_P50[[#This Row],[1]]-T_All_K2_N10_P50[[#This Row],[0]])/(ABS(T_All_K2_N10_P50[[#This Row],[0]]))</f>
        <v>0.27792208541326824</v>
      </c>
      <c r="C2">
        <f>(T_All_K2_N10_P50[[#This Row],[2]]-T_All_K2_N10_P50[[#This Row],[1]])/(ABS(T_All_K2_N10_P50[[#This Row],[1]]))</f>
        <v>9.8640697669249863E-2</v>
      </c>
      <c r="D2">
        <f>(T_All_K2_N10_P50[[#This Row],[3]]-T_All_K2_N10_P50[[#This Row],[2]])/(ABS(T_All_K2_N10_P50[[#This Row],[2]]))</f>
        <v>0.3389898002656524</v>
      </c>
      <c r="F2">
        <f>AVERAGE(B2:D2)</f>
        <v>0.2385175277827235</v>
      </c>
      <c r="G2">
        <f>(T_All_K2_N10_P50[[#This Row],[3]]-T_All_K2_N10_P50[[#This Row],[0]])/ABS(T_All_K2_N10_P50[[#This Row],[0]])</f>
        <v>0.87991116598433083</v>
      </c>
    </row>
    <row r="3" spans="1:7" x14ac:dyDescent="0.25">
      <c r="A3" t="str">
        <f>T_All_K2_N10_P50[[#This Row],[Identifier]]</f>
        <v>472af148fd3498347d20b71253dc9f3028a039cad3de77a98fd7b626cf21a807</v>
      </c>
      <c r="B3">
        <f>(T_All_K2_N10_P50[[#This Row],[1]]-T_All_K2_N10_P50[[#This Row],[0]])/(ABS(T_All_K2_N10_P50[[#This Row],[0]]))</f>
        <v>-0.31425292713253172</v>
      </c>
      <c r="C3">
        <f>(T_All_K2_N10_P50[[#This Row],[2]]-T_All_K2_N10_P50[[#This Row],[1]])/(ABS(T_All_K2_N10_P50[[#This Row],[1]]))</f>
        <v>-0.14035000768468667</v>
      </c>
      <c r="D3">
        <f>(T_All_K2_N10_P50[[#This Row],[3]]-T_All_K2_N10_P50[[#This Row],[2]])/(ABS(T_All_K2_N10_P50[[#This Row],[2]]))</f>
        <v>-5.4589273875374072E-2</v>
      </c>
      <c r="F3">
        <f>AVERAGE(B3:D3)</f>
        <v>-0.16973073623086413</v>
      </c>
      <c r="G3">
        <f>(T_All_K2_N10_P50[[#This Row],[3]]-T_All_K2_N10_P50[[#This Row],[0]])/ABS(T_All_K2_N10_P50[[#This Row],[0]])</f>
        <v>-0.44267804564158941</v>
      </c>
    </row>
    <row r="4" spans="1:7" x14ac:dyDescent="0.25">
      <c r="A4" t="str">
        <f>T_All_K2_N10_P50[[#This Row],[Identifier]]</f>
        <v>75d4fda8e147392934770d0d11975bfeb9a7baa1196e5df562221f79a4441958</v>
      </c>
      <c r="B4">
        <f>(T_All_K2_N10_P50[[#This Row],[1]]-T_All_K2_N10_P50[[#This Row],[0]])/(ABS(T_All_K2_N10_P50[[#This Row],[0]]))</f>
        <v>-0.56072775163083965</v>
      </c>
      <c r="C4">
        <f>(T_All_K2_N10_P50[[#This Row],[2]]-T_All_K2_N10_P50[[#This Row],[1]])/(ABS(T_All_K2_N10_P50[[#This Row],[1]]))</f>
        <v>0.6799279264337702</v>
      </c>
      <c r="D4">
        <f>(T_All_K2_N10_P50[[#This Row],[3]]-T_All_K2_N10_P50[[#This Row],[2]])/(ABS(T_All_K2_N10_P50[[#This Row],[2]]))</f>
        <v>-0.33560356021288135</v>
      </c>
      <c r="F4">
        <f>AVERAGE(B4:D4)</f>
        <v>-7.2134461803316938E-2</v>
      </c>
      <c r="G4">
        <f>(T_All_K2_N10_P50[[#This Row],[3]]-T_All_K2_N10_P50[[#This Row],[0]])/ABS(T_All_K2_N10_P50[[#This Row],[0]])</f>
        <v>-0.50971149264135629</v>
      </c>
    </row>
    <row r="5" spans="1:7" x14ac:dyDescent="0.25">
      <c r="A5" t="str">
        <f>T_All_K2_N10_P50[[#This Row],[Identifier]]</f>
        <v>c506b29ad4cf43d5937f09d8fb9e38e66c05d46a4dc11a5e909874f271a64c75</v>
      </c>
      <c r="B5">
        <f>(T_All_K2_N10_P50[[#This Row],[1]]-T_All_K2_N10_P50[[#This Row],[0]])/(ABS(T_All_K2_N10_P50[[#This Row],[0]]))</f>
        <v>1.0910832287022828E-2</v>
      </c>
      <c r="C5">
        <f>(T_All_K2_N10_P50[[#This Row],[2]]-T_All_K2_N10_P50[[#This Row],[1]])/(ABS(T_All_K2_N10_P50[[#This Row],[1]]))</f>
        <v>0.30881287955670328</v>
      </c>
      <c r="D5">
        <f>(T_All_K2_N10_P50[[#This Row],[3]]-T_All_K2_N10_P50[[#This Row],[2]])/(ABS(T_All_K2_N10_P50[[#This Row],[2]]))</f>
        <v>0.31550744955082033</v>
      </c>
      <c r="F5">
        <f>AVERAGE(B5:D5)</f>
        <v>0.21174372046484882</v>
      </c>
      <c r="G5">
        <f>(T_All_K2_N10_P50[[#This Row],[3]]-T_All_K2_N10_P50[[#This Row],[0]])/ABS(T_All_K2_N10_P50[[#This Row],[0]])</f>
        <v>0.74053885236365236</v>
      </c>
    </row>
    <row r="6" spans="1:7" x14ac:dyDescent="0.25">
      <c r="A6" t="str">
        <f>T_All_K2_N10_P50[[#This Row],[Identifier]]</f>
        <v>48e28fb65687724c3c29c12f28cf49db656a4d42cda2b8f6cc6f9e6309e7d957</v>
      </c>
      <c r="B6">
        <f>(T_All_K2_N10_P50[[#This Row],[1]]-T_All_K2_N10_P50[[#This Row],[0]])/(ABS(T_All_K2_N10_P50[[#This Row],[0]]))</f>
        <v>0.38005305691483915</v>
      </c>
      <c r="C6">
        <f>(T_All_K2_N10_P50[[#This Row],[2]]-T_All_K2_N10_P50[[#This Row],[1]])/(ABS(T_All_K2_N10_P50[[#This Row],[1]]))</f>
        <v>0.24861020305937329</v>
      </c>
      <c r="D6">
        <f>(T_All_K2_N10_P50[[#This Row],[3]]-T_All_K2_N10_P50[[#This Row],[2]])/(ABS(T_All_K2_N10_P50[[#This Row],[2]]))</f>
        <v>-0.15492749278918524</v>
      </c>
      <c r="F6">
        <f>AVERAGE(B6:D6)</f>
        <v>0.15791192239500906</v>
      </c>
      <c r="G6">
        <f>(T_All_K2_N10_P50[[#This Row],[3]]-T_All_K2_N10_P50[[#This Row],[0]])/ABS(T_All_K2_N10_P50[[#This Row],[0]])</f>
        <v>0.45618527752399479</v>
      </c>
    </row>
    <row r="7" spans="1:7" x14ac:dyDescent="0.25">
      <c r="A7" t="str">
        <f>T_All_K2_N10_P50[[#This Row],[Identifier]]</f>
        <v>30c417ec8a83f00ca94e0ed9c154050013613bb9aef57abf92a7eff3bcdb9ae7</v>
      </c>
      <c r="B7">
        <f>(T_All_K2_N10_P50[[#This Row],[1]]-T_All_K2_N10_P50[[#This Row],[0]])/(ABS(T_All_K2_N10_P50[[#This Row],[0]]))</f>
        <v>4.4563395124659573E-2</v>
      </c>
      <c r="C7">
        <f>(T_All_K2_N10_P50[[#This Row],[2]]-T_All_K2_N10_P50[[#This Row],[1]])/(ABS(T_All_K2_N10_P50[[#This Row],[1]]))</f>
        <v>-0.2484930943615615</v>
      </c>
      <c r="D7">
        <f>(T_All_K2_N10_P50[[#This Row],[3]]-T_All_K2_N10_P50[[#This Row],[2]])/(ABS(T_All_K2_N10_P50[[#This Row],[2]]))</f>
        <v>0.15443566135378464</v>
      </c>
      <c r="F7">
        <f>AVERAGE(B7:D7)</f>
        <v>-1.6498012627705765E-2</v>
      </c>
      <c r="G7">
        <f>(T_All_K2_N10_P50[[#This Row],[3]]-T_All_K2_N10_P50[[#This Row],[0]])/ABS(T_All_K2_N10_P50[[#This Row],[0]])</f>
        <v>-9.3771925361865752E-2</v>
      </c>
    </row>
    <row r="8" spans="1:7" x14ac:dyDescent="0.25">
      <c r="A8" t="str">
        <f>T_All_K2_N10_P50[[#This Row],[Identifier]]</f>
        <v>e76023d3e4111f640f14acee494fa76d8d5977384485fd9968eed3f16303486f</v>
      </c>
      <c r="B8">
        <f>(T_All_K2_N10_P50[[#This Row],[1]]-T_All_K2_N10_P50[[#This Row],[0]])/(ABS(T_All_K2_N10_P50[[#This Row],[0]]))</f>
        <v>-0.67105471744787148</v>
      </c>
      <c r="C8">
        <f>(T_All_K2_N10_P50[[#This Row],[2]]-T_All_K2_N10_P50[[#This Row],[1]])/(ABS(T_All_K2_N10_P50[[#This Row],[1]]))</f>
        <v>2.5557783480742482</v>
      </c>
      <c r="D8">
        <f>(T_All_K2_N10_P50[[#This Row],[3]]-T_All_K2_N10_P50[[#This Row],[2]])/(ABS(T_All_K2_N10_P50[[#This Row],[2]]))</f>
        <v>-0.63809494967400049</v>
      </c>
      <c r="F8">
        <f>AVERAGE(B8:D8)</f>
        <v>0.41554289365079206</v>
      </c>
      <c r="G8">
        <f>(T_All_K2_N10_P50[[#This Row],[3]]-T_All_K2_N10_P50[[#This Row],[0]])/ABS(T_All_K2_N10_P50[[#This Row],[0]])</f>
        <v>-0.57669540065383107</v>
      </c>
    </row>
    <row r="9" spans="1:7" x14ac:dyDescent="0.25">
      <c r="A9" t="str">
        <f>T_All_K2_N10_P50[[#This Row],[Identifier]]</f>
        <v>1ec2dccd55d824e37ff45caea38943839d6f16e0f86b4914d05fe3401ef2132f</v>
      </c>
      <c r="B9">
        <f>(T_All_K2_N10_P50[[#This Row],[1]]-T_All_K2_N10_P50[[#This Row],[0]])/(ABS(T_All_K2_N10_P50[[#This Row],[0]]))</f>
        <v>0.14942369454922599</v>
      </c>
      <c r="C9">
        <f>(T_All_K2_N10_P50[[#This Row],[2]]-T_All_K2_N10_P50[[#This Row],[1]])/(ABS(T_All_K2_N10_P50[[#This Row],[1]]))</f>
        <v>0.13308135464219706</v>
      </c>
      <c r="D9">
        <f>(T_All_K2_N10_P50[[#This Row],[3]]-T_All_K2_N10_P50[[#This Row],[2]])/(ABS(T_All_K2_N10_P50[[#This Row],[2]]))</f>
        <v>0.18111358396445057</v>
      </c>
      <c r="F9">
        <f>AVERAGE(B9:D9)</f>
        <v>0.15453954438529119</v>
      </c>
      <c r="G9">
        <f>(T_All_K2_N10_P50[[#This Row],[3]]-T_All_K2_N10_P50[[#This Row],[0]])/ABS(T_All_K2_N10_P50[[#This Row],[0]])</f>
        <v>0.5382711783552484</v>
      </c>
    </row>
    <row r="10" spans="1:7" x14ac:dyDescent="0.25">
      <c r="A10" t="str">
        <f>T_All_K2_N10_P50[[#This Row],[Identifier]]</f>
        <v>d592e5d4933a19941b99cd329b86543d6903320b73000e78702a1a77873a8e7d</v>
      </c>
      <c r="B10">
        <f>(T_All_K2_N10_P50[[#This Row],[1]]-T_All_K2_N10_P50[[#This Row],[0]])/(ABS(T_All_K2_N10_P50[[#This Row],[0]]))</f>
        <v>6.2087906716903202E-2</v>
      </c>
      <c r="C10">
        <f>(T_All_K2_N10_P50[[#This Row],[2]]-T_All_K2_N10_P50[[#This Row],[1]])/(ABS(T_All_K2_N10_P50[[#This Row],[1]]))</f>
        <v>3.9853064878504159E-2</v>
      </c>
      <c r="D10">
        <f>(T_All_K2_N10_P50[[#This Row],[3]]-T_All_K2_N10_P50[[#This Row],[2]])/(ABS(T_All_K2_N10_P50[[#This Row],[2]]))</f>
        <v>-0.5313891362874017</v>
      </c>
      <c r="F10">
        <f>AVERAGE(B10:D10)</f>
        <v>-0.14314938823066478</v>
      </c>
      <c r="G10">
        <f>(T_All_K2_N10_P50[[#This Row],[3]]-T_All_K2_N10_P50[[#This Row],[0]])/ABS(T_All_K2_N10_P50[[#This Row],[0]])</f>
        <v>-0.48245896192395943</v>
      </c>
    </row>
    <row r="11" spans="1:7" x14ac:dyDescent="0.25">
      <c r="A11" t="str">
        <f>T_All_K2_N10_P50[[#This Row],[Identifier]]</f>
        <v>b381addaf3fa7d329aa3929bb7332a63dd7f679b309a99e5de908048415f7339</v>
      </c>
      <c r="B11">
        <f>(T_All_K2_N10_P50[[#This Row],[1]]-T_All_K2_N10_P50[[#This Row],[0]])/(ABS(T_All_K2_N10_P50[[#This Row],[0]]))</f>
        <v>-0.22290508123223204</v>
      </c>
      <c r="C11">
        <f>(T_All_K2_N10_P50[[#This Row],[2]]-T_All_K2_N10_P50[[#This Row],[1]])/(ABS(T_All_K2_N10_P50[[#This Row],[1]]))</f>
        <v>0.38182502280902725</v>
      </c>
      <c r="D11">
        <f>(T_All_K2_N10_P50[[#This Row],[3]]-T_All_K2_N10_P50[[#This Row],[2]])/(ABS(T_All_K2_N10_P50[[#This Row],[2]]))</f>
        <v>-0.81381455254241897</v>
      </c>
      <c r="F11">
        <f>AVERAGE(B11:D11)</f>
        <v>-0.21829820365520791</v>
      </c>
      <c r="G11">
        <f>(T_All_K2_N10_P50[[#This Row],[3]]-T_All_K2_N10_P50[[#This Row],[0]])/ABS(T_All_K2_N10_P50[[#This Row],[0]])</f>
        <v>-0.80007235289692336</v>
      </c>
    </row>
    <row r="14" spans="1:7" x14ac:dyDescent="0.25">
      <c r="E14" s="2" t="s">
        <v>20</v>
      </c>
      <c r="F14">
        <f>AVERAGE(F2:F11)</f>
        <v>5.5844480613090511E-2</v>
      </c>
      <c r="G14">
        <f>AVERAGE(G2:G11)</f>
        <v>-2.9048170489229898E-2</v>
      </c>
    </row>
    <row r="17" spans="1:7" x14ac:dyDescent="0.25">
      <c r="A17" s="5"/>
      <c r="B17" s="6" t="s">
        <v>17</v>
      </c>
      <c r="C17" s="7" t="s">
        <v>18</v>
      </c>
      <c r="D17" s="7" t="s">
        <v>19</v>
      </c>
      <c r="E17" s="5"/>
      <c r="F17" s="6" t="s">
        <v>20</v>
      </c>
      <c r="G17" s="6" t="s">
        <v>21</v>
      </c>
    </row>
    <row r="18" spans="1:7" x14ac:dyDescent="0.25">
      <c r="A18" s="5" t="s">
        <v>22</v>
      </c>
      <c r="B18" s="5">
        <f>AVERAGE(B2:B11)</f>
        <v>-8.439795064375559E-2</v>
      </c>
      <c r="C18" s="5">
        <f t="shared" ref="C18:D18" si="0">AVERAGE(C2:C11)</f>
        <v>0.4057686395076826</v>
      </c>
      <c r="D18" s="5">
        <f t="shared" si="0"/>
        <v>-0.1538372470246554</v>
      </c>
      <c r="E18" s="5"/>
      <c r="F18" s="5">
        <f>AVERAGE(B18:D18)</f>
        <v>5.5844480613090532E-2</v>
      </c>
      <c r="G18" s="5">
        <f>(D18-B18)/(ABS(B18))</f>
        <v>-0.82276045628173633</v>
      </c>
    </row>
  </sheetData>
  <conditionalFormatting sqref="A18:XFD1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F26 F27:G1048576 F1:G25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T-All_K2 N10 P50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2026-03-04T23:49:04Z</dcterms:modified>
</cp:coreProperties>
</file>