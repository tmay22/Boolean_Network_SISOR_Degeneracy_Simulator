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Boolean_Network_SISOR_Degeneracy_Simulator\Boolean_Network_SISOR_Degeneracy_Simulator\Cumulative_Outputs\Results\"/>
    </mc:Choice>
  </mc:AlternateContent>
  <xr:revisionPtr revIDLastSave="0" documentId="13_ncr:1_{BE645523-82EE-456F-B76F-79CE1ED44DC0}" xr6:coauthVersionLast="47" xr6:coauthVersionMax="47" xr10:uidLastSave="{00000000-0000-0000-0000-000000000000}"/>
  <bookViews>
    <workbookView xWindow="-120" yWindow="-120" windowWidth="38640" windowHeight="21240" xr2:uid="{8979E4B9-F6D3-4FFF-BFAD-32F04701C466}"/>
  </bookViews>
  <sheets>
    <sheet name="T-All_K1 N10 P100" sheetId="8" r:id="rId1"/>
    <sheet name="R Squared" sheetId="5" r:id="rId2"/>
    <sheet name="Relative Change" sheetId="3" r:id="rId3"/>
  </sheets>
  <definedNames>
    <definedName name="ExternalData_1" localSheetId="0" hidden="1">'T-All_K1 N10 P100'!$A$1:$J$3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2" i="3"/>
  <c r="L14" i="3"/>
  <c r="K14" i="3"/>
  <c r="C18" i="3"/>
  <c r="D18" i="3"/>
  <c r="E18" i="3"/>
  <c r="F18" i="3"/>
  <c r="G18" i="3"/>
  <c r="H18" i="3"/>
  <c r="I18" i="3"/>
  <c r="B18" i="3"/>
  <c r="C18" i="5"/>
  <c r="D18" i="5"/>
  <c r="E18" i="5"/>
  <c r="F18" i="5"/>
  <c r="G18" i="5"/>
  <c r="H18" i="5"/>
  <c r="I18" i="5"/>
  <c r="J18" i="5"/>
  <c r="B18" i="5"/>
  <c r="L14" i="5"/>
  <c r="L3" i="3"/>
  <c r="L4" i="3"/>
  <c r="L5" i="3"/>
  <c r="L6" i="3"/>
  <c r="L7" i="3"/>
  <c r="L8" i="3"/>
  <c r="L9" i="3"/>
  <c r="L10" i="3"/>
  <c r="L11" i="3"/>
  <c r="L2" i="3"/>
  <c r="B3" i="3"/>
  <c r="C3" i="3"/>
  <c r="D3" i="3"/>
  <c r="E3" i="3"/>
  <c r="F3" i="3"/>
  <c r="G3" i="3"/>
  <c r="H3" i="3"/>
  <c r="I3" i="3"/>
  <c r="B4" i="3"/>
  <c r="C4" i="3"/>
  <c r="D4" i="3"/>
  <c r="E4" i="3"/>
  <c r="F4" i="3"/>
  <c r="G4" i="3"/>
  <c r="H4" i="3"/>
  <c r="I4" i="3"/>
  <c r="B5" i="3"/>
  <c r="C5" i="3"/>
  <c r="D5" i="3"/>
  <c r="E5" i="3"/>
  <c r="F5" i="3"/>
  <c r="G5" i="3"/>
  <c r="H5" i="3"/>
  <c r="I5" i="3"/>
  <c r="B6" i="3"/>
  <c r="C6" i="3"/>
  <c r="D6" i="3"/>
  <c r="E6" i="3"/>
  <c r="F6" i="3"/>
  <c r="G6" i="3"/>
  <c r="H6" i="3"/>
  <c r="I6" i="3"/>
  <c r="B7" i="3"/>
  <c r="C7" i="3"/>
  <c r="D7" i="3"/>
  <c r="E7" i="3"/>
  <c r="F7" i="3"/>
  <c r="G7" i="3"/>
  <c r="H7" i="3"/>
  <c r="I7" i="3"/>
  <c r="B8" i="3"/>
  <c r="C8" i="3"/>
  <c r="D8" i="3"/>
  <c r="E8" i="3"/>
  <c r="F8" i="3"/>
  <c r="G8" i="3"/>
  <c r="H8" i="3"/>
  <c r="I8" i="3"/>
  <c r="B9" i="3"/>
  <c r="C9" i="3"/>
  <c r="D9" i="3"/>
  <c r="E9" i="3"/>
  <c r="F9" i="3"/>
  <c r="G9" i="3"/>
  <c r="H9" i="3"/>
  <c r="I9" i="3"/>
  <c r="B10" i="3"/>
  <c r="C10" i="3"/>
  <c r="D10" i="3"/>
  <c r="E10" i="3"/>
  <c r="F10" i="3"/>
  <c r="G10" i="3"/>
  <c r="H10" i="3"/>
  <c r="I10" i="3"/>
  <c r="B11" i="3"/>
  <c r="K11" i="3" s="1"/>
  <c r="C11" i="3"/>
  <c r="D11" i="3"/>
  <c r="E11" i="3"/>
  <c r="F11" i="3"/>
  <c r="G11" i="3"/>
  <c r="H11" i="3"/>
  <c r="I11" i="3"/>
  <c r="C2" i="3"/>
  <c r="D2" i="3"/>
  <c r="E2" i="3"/>
  <c r="F2" i="3"/>
  <c r="G2" i="3"/>
  <c r="H2" i="3"/>
  <c r="I2" i="3"/>
  <c r="B2" i="3"/>
  <c r="A3" i="5"/>
  <c r="B3" i="5"/>
  <c r="C3" i="5"/>
  <c r="D3" i="5"/>
  <c r="E3" i="5"/>
  <c r="F3" i="5"/>
  <c r="G3" i="5"/>
  <c r="H3" i="5"/>
  <c r="I3" i="5"/>
  <c r="J3" i="5"/>
  <c r="A4" i="5"/>
  <c r="B4" i="5"/>
  <c r="C4" i="5"/>
  <c r="D4" i="5"/>
  <c r="E4" i="5"/>
  <c r="F4" i="5"/>
  <c r="G4" i="5"/>
  <c r="H4" i="5"/>
  <c r="I4" i="5"/>
  <c r="J4" i="5"/>
  <c r="A5" i="5"/>
  <c r="B5" i="5"/>
  <c r="C5" i="5"/>
  <c r="D5" i="5"/>
  <c r="E5" i="5"/>
  <c r="F5" i="5"/>
  <c r="G5" i="5"/>
  <c r="H5" i="5"/>
  <c r="I5" i="5"/>
  <c r="J5" i="5"/>
  <c r="A6" i="5"/>
  <c r="B6" i="5"/>
  <c r="C6" i="5"/>
  <c r="D6" i="5"/>
  <c r="E6" i="5"/>
  <c r="F6" i="5"/>
  <c r="G6" i="5"/>
  <c r="H6" i="5"/>
  <c r="I6" i="5"/>
  <c r="J6" i="5"/>
  <c r="A7" i="5"/>
  <c r="B7" i="5"/>
  <c r="C7" i="5"/>
  <c r="D7" i="5"/>
  <c r="E7" i="5"/>
  <c r="F7" i="5"/>
  <c r="G7" i="5"/>
  <c r="H7" i="5"/>
  <c r="I7" i="5"/>
  <c r="J7" i="5"/>
  <c r="A8" i="5"/>
  <c r="B8" i="5"/>
  <c r="C8" i="5"/>
  <c r="D8" i="5"/>
  <c r="E8" i="5"/>
  <c r="F8" i="5"/>
  <c r="G8" i="5"/>
  <c r="H8" i="5"/>
  <c r="I8" i="5"/>
  <c r="J8" i="5"/>
  <c r="A9" i="5"/>
  <c r="B9" i="5"/>
  <c r="C9" i="5"/>
  <c r="D9" i="5"/>
  <c r="E9" i="5"/>
  <c r="F9" i="5"/>
  <c r="G9" i="5"/>
  <c r="H9" i="5"/>
  <c r="I9" i="5"/>
  <c r="J9" i="5"/>
  <c r="A10" i="5"/>
  <c r="B10" i="5"/>
  <c r="C10" i="5"/>
  <c r="D10" i="5"/>
  <c r="E10" i="5"/>
  <c r="F10" i="5"/>
  <c r="G10" i="5"/>
  <c r="H10" i="5"/>
  <c r="I10" i="5"/>
  <c r="J10" i="5"/>
  <c r="A11" i="5"/>
  <c r="B11" i="5"/>
  <c r="C11" i="5"/>
  <c r="D11" i="5"/>
  <c r="E11" i="5"/>
  <c r="F11" i="5"/>
  <c r="G11" i="5"/>
  <c r="H11" i="5"/>
  <c r="I11" i="5"/>
  <c r="J11" i="5"/>
  <c r="B2" i="5"/>
  <c r="C2" i="5"/>
  <c r="D2" i="5"/>
  <c r="E2" i="5"/>
  <c r="F2" i="5"/>
  <c r="G2" i="5"/>
  <c r="H2" i="5"/>
  <c r="I2" i="5"/>
  <c r="J2" i="5"/>
  <c r="A2" i="5"/>
  <c r="L18" i="5" l="1"/>
  <c r="L11" i="5"/>
  <c r="L10" i="5"/>
  <c r="K10" i="3"/>
  <c r="L4" i="5"/>
  <c r="K8" i="3"/>
  <c r="L8" i="5"/>
  <c r="K6" i="3"/>
  <c r="K7" i="3"/>
  <c r="L5" i="5"/>
  <c r="K5" i="3"/>
  <c r="L6" i="5"/>
  <c r="K4" i="3"/>
  <c r="L7" i="5"/>
  <c r="K3" i="3"/>
  <c r="L9" i="5"/>
  <c r="K9" i="3"/>
  <c r="L3" i="5"/>
  <c r="L2" i="5"/>
  <c r="K2" i="3"/>
  <c r="L18" i="3" l="1"/>
  <c r="K1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763C00-55DE-4B7F-91C3-AEAF1F622784}" keepAlive="1" name="Query - T-All_K1 N10 P100" description="Connection to the 'T-All_K1 N10 P100' query in the workbook." type="5" refreshedVersion="8" background="1" saveData="1">
    <dbPr connection="Provider=Microsoft.Mashup.OleDb.1;Data Source=$Workbook$;Location=&quot;T-All_K1 N10 P100&quot;;Extended Properties=&quot;&quot;" command="SELECT * FROM [T-All_K1 N10 P100]"/>
  </connection>
</connections>
</file>

<file path=xl/sharedStrings.xml><?xml version="1.0" encoding="utf-8"?>
<sst xmlns="http://schemas.openxmlformats.org/spreadsheetml/2006/main" count="40" uniqueCount="29">
  <si>
    <t>Identifier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</si>
  <si>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</si>
  <si>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</si>
  <si>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</si>
  <si>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</si>
  <si>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</si>
  <si>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</si>
  <si>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</si>
  <si>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</si>
  <si>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</si>
  <si>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R Squared</t>
  </si>
  <si>
    <t>ID</t>
  </si>
  <si>
    <t>0-1</t>
  </si>
  <si>
    <t>1-2</t>
  </si>
  <si>
    <t>2-3</t>
  </si>
  <si>
    <t>3-4</t>
  </si>
  <si>
    <t>4-5</t>
  </si>
  <si>
    <t>5-6</t>
  </si>
  <si>
    <t>6-7</t>
  </si>
  <si>
    <t>7-8</t>
  </si>
  <si>
    <t>Average</t>
  </si>
  <si>
    <t>Max-Min</t>
  </si>
  <si>
    <t>RSQ of Ave</t>
  </si>
  <si>
    <t>Ave RSQ</t>
  </si>
  <si>
    <t>T Averages</t>
  </si>
  <si>
    <t>17a03f18e15e47f9b481159194e2afbd33313bc339194f1b30a39798a8fbfe39</t>
  </si>
  <si>
    <t>0a8c5c9f3b8b0d711510c46c19219bab89c89cebb6d7397aa3a8a7ccec1265e8</t>
  </si>
  <si>
    <t>Average per ID</t>
  </si>
  <si>
    <t>Average per Timestep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</si>
</sst>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3" fillId="0" borderId="0" xfId="0" quotePrefix="1" applyFont="1"/>
  </cellXfs>
  <cellStyles count="1">
    <cellStyle name="Normal" xfId="0" builtinId="0"/>
  </cellStyles>
  <dxfs count="9"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CC"/>
        </patternFill>
      </fill>
    </dxf>
    <dxf>
      <fill>
        <patternFill patternType="none">
          <bgColor auto="1"/>
        </patternFill>
      </fill>
    </dxf>
    <dxf>
      <numFmt numFmtId="0" formatCode="General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32B28E-09EA-490D-BC75-CF4EF7EFC4B7}" autoFormatId="16" applyNumberFormats="0" applyBorderFormats="0" applyFontFormats="0" applyPatternFormats="0" applyAlignmentFormats="0" applyWidthHeightFormats="0">
  <queryTableRefresh nextId="11">
    <queryTableFields count="10">
      <queryTableField id="1" name="Identifier" tableColumnId="1"/>
      <queryTableField id="2" name="0" tableColumnId="2"/>
      <queryTableField id="3" name="1" tableColumnId="3"/>
      <queryTableField id="4" name="2" tableColumnId="4"/>
      <queryTableField id="5" name="3" tableColumnId="5"/>
      <queryTableField id="6" name="4" tableColumnId="6"/>
      <queryTableField id="7" name="5" tableColumnId="7"/>
      <queryTableField id="8" name="6" tableColumnId="8"/>
      <queryTableField id="9" name="7" tableColumnId="9"/>
      <queryTableField id="10" name="8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D3083A-1F04-4142-9FF4-469558B6D2AC}" name="T_All_K1_N10_P100" displayName="T_All_K1_N10_P100" ref="A1:J3" tableType="queryTable" totalsRowShown="0">
  <autoFilter ref="A1:J3" xr:uid="{27D3083A-1F04-4142-9FF4-469558B6D2AC}"/>
  <tableColumns count="10">
    <tableColumn id="1" xr3:uid="{09A321E6-8686-4573-8CDE-5D9E8922D437}" uniqueName="1" name="Identifier" queryTableFieldId="1" dataDxfId="8"/>
    <tableColumn id="2" xr3:uid="{EEE59780-907A-4816-BD17-436D31A5976C}" uniqueName="2" name="0" queryTableFieldId="2"/>
    <tableColumn id="3" xr3:uid="{28702242-F9C9-49BC-BFED-DF663AB93552}" uniqueName="3" name="1" queryTableFieldId="3"/>
    <tableColumn id="4" xr3:uid="{A835B1A0-B4F5-4D50-BF9C-20D85D2FAF43}" uniqueName="4" name="2" queryTableFieldId="4"/>
    <tableColumn id="5" xr3:uid="{DD91A271-3305-43A1-9A75-D8F6E7E18487}" uniqueName="5" name="3" queryTableFieldId="5"/>
    <tableColumn id="6" xr3:uid="{C1F3694C-E2CE-4072-B140-74C824302240}" uniqueName="6" name="4" queryTableFieldId="6"/>
    <tableColumn id="7" xr3:uid="{B8F0957D-41C1-4981-A8F2-BB9D0A3F8F5B}" uniqueName="7" name="5" queryTableFieldId="7"/>
    <tableColumn id="8" xr3:uid="{24EB7A03-7B7D-454D-AD38-E403F18BF1FC}" uniqueName="8" name="6" queryTableFieldId="8"/>
    <tableColumn id="9" xr3:uid="{46E97ABB-5A80-4027-981B-E5CAE856D18E}" uniqueName="9" name="7" queryTableFieldId="9"/>
    <tableColumn id="10" xr3:uid="{CAF34369-8E66-4528-8A12-60EC3507F37A}" uniqueName="10" name="8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93D5-58FC-4144-A997-A62A756361C5}">
  <dimension ref="A1:J3"/>
  <sheetViews>
    <sheetView tabSelected="1" zoomScale="85" zoomScaleNormal="85" workbookViewId="0">
      <selection activeCell="G27" sqref="G27"/>
    </sheetView>
  </sheetViews>
  <sheetFormatPr defaultRowHeight="15" x14ac:dyDescent="0.25"/>
  <cols>
    <col min="1" max="1" width="68.5703125" bestFit="1" customWidth="1"/>
    <col min="2" max="10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25</v>
      </c>
      <c r="B2">
        <v>9.0793755507423839</v>
      </c>
      <c r="C2">
        <v>5.5575098084033883</v>
      </c>
      <c r="D2">
        <v>6.4820331168786405</v>
      </c>
      <c r="E2">
        <v>11.712435973462975</v>
      </c>
      <c r="F2">
        <v>6.963143228332223</v>
      </c>
      <c r="G2">
        <v>5.4587556057637663</v>
      </c>
      <c r="H2">
        <v>12.604990365206682</v>
      </c>
      <c r="I2">
        <v>6.8731491240702107</v>
      </c>
      <c r="J2">
        <v>13.268246371992241</v>
      </c>
    </row>
    <row r="3" spans="1:10" x14ac:dyDescent="0.25">
      <c r="A3" t="s">
        <v>26</v>
      </c>
      <c r="B3">
        <v>4.414906362</v>
      </c>
      <c r="C3">
        <v>6.121717598</v>
      </c>
      <c r="D3">
        <v>7.2476757740000002</v>
      </c>
      <c r="E3">
        <v>3.8169154500000002</v>
      </c>
      <c r="F3">
        <v>10.204420499999999</v>
      </c>
      <c r="G3">
        <v>10.25228175</v>
      </c>
      <c r="H3">
        <v>14.61386267</v>
      </c>
      <c r="I3">
        <v>20.369051639999999</v>
      </c>
      <c r="J3">
        <v>12.993744810000001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6ADCC-00BB-4058-A1B8-16AB3F675525}">
  <dimension ref="A1:L18"/>
  <sheetViews>
    <sheetView workbookViewId="0">
      <selection activeCell="A17" sqref="A17:L18"/>
    </sheetView>
  </sheetViews>
  <sheetFormatPr defaultRowHeight="15" x14ac:dyDescent="0.25"/>
  <cols>
    <col min="1" max="1" width="20.42578125" customWidth="1"/>
  </cols>
  <sheetData>
    <row r="1" spans="1:12" x14ac:dyDescent="0.25">
      <c r="A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L1" s="3" t="s">
        <v>10</v>
      </c>
    </row>
    <row r="2" spans="1:12" x14ac:dyDescent="0.25">
      <c r="A2" t="str">
        <f>T_All_K1_N10_P100[[#This Row],[Identifier]]</f>
        <v>17a03f18e15e47f9b481159194e2afbd33313bc339194f1b30a39798a8fbfe39</v>
      </c>
      <c r="B2">
        <f>T_All_K1_N10_P100[[#This Row],[0]]</f>
        <v>9.0793755507423839</v>
      </c>
      <c r="C2">
        <f>T_All_K1_N10_P100[[#This Row],[1]]</f>
        <v>5.5575098084033883</v>
      </c>
      <c r="D2">
        <f>T_All_K1_N10_P100[[#This Row],[2]]</f>
        <v>6.4820331168786405</v>
      </c>
      <c r="E2">
        <f>T_All_K1_N10_P100[[#This Row],[3]]</f>
        <v>11.712435973462975</v>
      </c>
      <c r="F2">
        <f>T_All_K1_N10_P100[[#This Row],[4]]</f>
        <v>6.963143228332223</v>
      </c>
      <c r="G2">
        <f>T_All_K1_N10_P100[[#This Row],[5]]</f>
        <v>5.4587556057637663</v>
      </c>
      <c r="H2">
        <f>T_All_K1_N10_P100[[#This Row],[6]]</f>
        <v>12.604990365206682</v>
      </c>
      <c r="I2">
        <f>T_All_K1_N10_P100[[#This Row],[7]]</f>
        <v>6.8731491240702107</v>
      </c>
      <c r="J2">
        <f>T_All_K1_N10_P100[[#This Row],[8]]</f>
        <v>13.268246371992241</v>
      </c>
      <c r="L2" s="1">
        <f t="shared" ref="L2:L11" si="0">RSQ(B2:J2,$B$1:$J$1)</f>
        <v>0.15428158545898288</v>
      </c>
    </row>
    <row r="3" spans="1:12" x14ac:dyDescent="0.25">
      <c r="A3" t="str">
        <f>T_All_K1_N10_P100[[#This Row],[Identifier]]</f>
        <v>0a8c5c9f3b8b0d711510c46c19219bab89c89cebb6d7397aa3a8a7ccec1265e8</v>
      </c>
      <c r="B3">
        <f>T_All_K1_N10_P100[[#This Row],[0]]</f>
        <v>4.414906362</v>
      </c>
      <c r="C3">
        <f>T_All_K1_N10_P100[[#This Row],[1]]</f>
        <v>6.121717598</v>
      </c>
      <c r="D3">
        <f>T_All_K1_N10_P100[[#This Row],[2]]</f>
        <v>7.2476757740000002</v>
      </c>
      <c r="E3">
        <f>T_All_K1_N10_P100[[#This Row],[3]]</f>
        <v>3.8169154500000002</v>
      </c>
      <c r="F3">
        <f>T_All_K1_N10_P100[[#This Row],[4]]</f>
        <v>10.204420499999999</v>
      </c>
      <c r="G3">
        <f>T_All_K1_N10_P100[[#This Row],[5]]</f>
        <v>10.25228175</v>
      </c>
      <c r="H3">
        <f>T_All_K1_N10_P100[[#This Row],[6]]</f>
        <v>14.61386267</v>
      </c>
      <c r="I3">
        <f>T_All_K1_N10_P100[[#This Row],[7]]</f>
        <v>20.369051639999999</v>
      </c>
      <c r="J3">
        <f>T_All_K1_N10_P100[[#This Row],[8]]</f>
        <v>12.993744810000001</v>
      </c>
      <c r="L3" s="1">
        <f t="shared" si="0"/>
        <v>0.6994074629290552</v>
      </c>
    </row>
    <row r="4" spans="1:12" x14ac:dyDescent="0.25">
      <c r="A4" t="e">
        <f>T_All_K1_N10_P100[[#This Row],[Identifier]]</f>
        <v>#VALUE!</v>
      </c>
      <c r="B4" t="e">
        <f>T_All_K1_N10_P100[[#This Row],[0]]</f>
        <v>#VALUE!</v>
      </c>
      <c r="C4" t="e">
        <f>T_All_K1_N10_P100[[#This Row],[1]]</f>
        <v>#VALUE!</v>
      </c>
      <c r="D4" t="e">
        <f>T_All_K1_N10_P100[[#This Row],[2]]</f>
        <v>#VALUE!</v>
      </c>
      <c r="E4" t="e">
        <f>T_All_K1_N10_P100[[#This Row],[3]]</f>
        <v>#VALUE!</v>
      </c>
      <c r="F4" t="e">
        <f>T_All_K1_N10_P100[[#This Row],[4]]</f>
        <v>#VALUE!</v>
      </c>
      <c r="G4" t="e">
        <f>T_All_K1_N10_P100[[#This Row],[5]]</f>
        <v>#VALUE!</v>
      </c>
      <c r="H4" t="e">
        <f>T_All_K1_N10_P100[[#This Row],[6]]</f>
        <v>#VALUE!</v>
      </c>
      <c r="I4" t="e">
        <f>T_All_K1_N10_P100[[#This Row],[7]]</f>
        <v>#VALUE!</v>
      </c>
      <c r="J4" t="e">
        <f>T_All_K1_N10_P100[[#This Row],[8]]</f>
        <v>#VALUE!</v>
      </c>
      <c r="L4" s="1" t="e">
        <f t="shared" si="0"/>
        <v>#VALUE!</v>
      </c>
    </row>
    <row r="5" spans="1:12" x14ac:dyDescent="0.25">
      <c r="A5" t="e">
        <f>T_All_K1_N10_P100[[#This Row],[Identifier]]</f>
        <v>#VALUE!</v>
      </c>
      <c r="B5" t="e">
        <f>T_All_K1_N10_P100[[#This Row],[0]]</f>
        <v>#VALUE!</v>
      </c>
      <c r="C5" t="e">
        <f>T_All_K1_N10_P100[[#This Row],[1]]</f>
        <v>#VALUE!</v>
      </c>
      <c r="D5" t="e">
        <f>T_All_K1_N10_P100[[#This Row],[2]]</f>
        <v>#VALUE!</v>
      </c>
      <c r="E5" t="e">
        <f>T_All_K1_N10_P100[[#This Row],[3]]</f>
        <v>#VALUE!</v>
      </c>
      <c r="F5" t="e">
        <f>T_All_K1_N10_P100[[#This Row],[4]]</f>
        <v>#VALUE!</v>
      </c>
      <c r="G5" t="e">
        <f>T_All_K1_N10_P100[[#This Row],[5]]</f>
        <v>#VALUE!</v>
      </c>
      <c r="H5" t="e">
        <f>T_All_K1_N10_P100[[#This Row],[6]]</f>
        <v>#VALUE!</v>
      </c>
      <c r="I5" t="e">
        <f>T_All_K1_N10_P100[[#This Row],[7]]</f>
        <v>#VALUE!</v>
      </c>
      <c r="J5" t="e">
        <f>T_All_K1_N10_P100[[#This Row],[8]]</f>
        <v>#VALUE!</v>
      </c>
      <c r="L5" s="1" t="e">
        <f t="shared" si="0"/>
        <v>#VALUE!</v>
      </c>
    </row>
    <row r="6" spans="1:12" x14ac:dyDescent="0.25">
      <c r="A6" t="e">
        <f>T_All_K1_N10_P100[[#This Row],[Identifier]]</f>
        <v>#VALUE!</v>
      </c>
      <c r="B6" t="e">
        <f>T_All_K1_N10_P100[[#This Row],[0]]</f>
        <v>#VALUE!</v>
      </c>
      <c r="C6" t="e">
        <f>T_All_K1_N10_P100[[#This Row],[1]]</f>
        <v>#VALUE!</v>
      </c>
      <c r="D6" t="e">
        <f>T_All_K1_N10_P100[[#This Row],[2]]</f>
        <v>#VALUE!</v>
      </c>
      <c r="E6" t="e">
        <f>T_All_K1_N10_P100[[#This Row],[3]]</f>
        <v>#VALUE!</v>
      </c>
      <c r="F6" t="e">
        <f>T_All_K1_N10_P100[[#This Row],[4]]</f>
        <v>#VALUE!</v>
      </c>
      <c r="G6" t="e">
        <f>T_All_K1_N10_P100[[#This Row],[5]]</f>
        <v>#VALUE!</v>
      </c>
      <c r="H6" t="e">
        <f>T_All_K1_N10_P100[[#This Row],[6]]</f>
        <v>#VALUE!</v>
      </c>
      <c r="I6" t="e">
        <f>T_All_K1_N10_P100[[#This Row],[7]]</f>
        <v>#VALUE!</v>
      </c>
      <c r="J6" t="e">
        <f>T_All_K1_N10_P100[[#This Row],[8]]</f>
        <v>#VALUE!</v>
      </c>
      <c r="L6" s="1" t="e">
        <f t="shared" si="0"/>
        <v>#VALUE!</v>
      </c>
    </row>
    <row r="7" spans="1:12" x14ac:dyDescent="0.25">
      <c r="A7" t="e">
        <f>T_All_K1_N10_P100[[#This Row],[Identifier]]</f>
        <v>#VALUE!</v>
      </c>
      <c r="B7" t="e">
        <f>T_All_K1_N10_P100[[#This Row],[0]]</f>
        <v>#VALUE!</v>
      </c>
      <c r="C7" t="e">
        <f>T_All_K1_N10_P100[[#This Row],[1]]</f>
        <v>#VALUE!</v>
      </c>
      <c r="D7" t="e">
        <f>T_All_K1_N10_P100[[#This Row],[2]]</f>
        <v>#VALUE!</v>
      </c>
      <c r="E7" t="e">
        <f>T_All_K1_N10_P100[[#This Row],[3]]</f>
        <v>#VALUE!</v>
      </c>
      <c r="F7" t="e">
        <f>T_All_K1_N10_P100[[#This Row],[4]]</f>
        <v>#VALUE!</v>
      </c>
      <c r="G7" t="e">
        <f>T_All_K1_N10_P100[[#This Row],[5]]</f>
        <v>#VALUE!</v>
      </c>
      <c r="H7" t="e">
        <f>T_All_K1_N10_P100[[#This Row],[6]]</f>
        <v>#VALUE!</v>
      </c>
      <c r="I7" t="e">
        <f>T_All_K1_N10_P100[[#This Row],[7]]</f>
        <v>#VALUE!</v>
      </c>
      <c r="J7" t="e">
        <f>T_All_K1_N10_P100[[#This Row],[8]]</f>
        <v>#VALUE!</v>
      </c>
      <c r="L7" s="1" t="e">
        <f t="shared" si="0"/>
        <v>#VALUE!</v>
      </c>
    </row>
    <row r="8" spans="1:12" x14ac:dyDescent="0.25">
      <c r="A8" t="e">
        <f>T_All_K1_N10_P100[[#This Row],[Identifier]]</f>
        <v>#VALUE!</v>
      </c>
      <c r="B8" t="e">
        <f>T_All_K1_N10_P100[[#This Row],[0]]</f>
        <v>#VALUE!</v>
      </c>
      <c r="C8" t="e">
        <f>T_All_K1_N10_P100[[#This Row],[1]]</f>
        <v>#VALUE!</v>
      </c>
      <c r="D8" t="e">
        <f>T_All_K1_N10_P100[[#This Row],[2]]</f>
        <v>#VALUE!</v>
      </c>
      <c r="E8" t="e">
        <f>T_All_K1_N10_P100[[#This Row],[3]]</f>
        <v>#VALUE!</v>
      </c>
      <c r="F8" t="e">
        <f>T_All_K1_N10_P100[[#This Row],[4]]</f>
        <v>#VALUE!</v>
      </c>
      <c r="G8" t="e">
        <f>T_All_K1_N10_P100[[#This Row],[5]]</f>
        <v>#VALUE!</v>
      </c>
      <c r="H8" t="e">
        <f>T_All_K1_N10_P100[[#This Row],[6]]</f>
        <v>#VALUE!</v>
      </c>
      <c r="I8" t="e">
        <f>T_All_K1_N10_P100[[#This Row],[7]]</f>
        <v>#VALUE!</v>
      </c>
      <c r="J8" t="e">
        <f>T_All_K1_N10_P100[[#This Row],[8]]</f>
        <v>#VALUE!</v>
      </c>
      <c r="L8" s="1" t="e">
        <f t="shared" si="0"/>
        <v>#VALUE!</v>
      </c>
    </row>
    <row r="9" spans="1:12" x14ac:dyDescent="0.25">
      <c r="A9" t="e">
        <f>T_All_K1_N10_P100[[#This Row],[Identifier]]</f>
        <v>#VALUE!</v>
      </c>
      <c r="B9" t="e">
        <f>T_All_K1_N10_P100[[#This Row],[0]]</f>
        <v>#VALUE!</v>
      </c>
      <c r="C9" t="e">
        <f>T_All_K1_N10_P100[[#This Row],[1]]</f>
        <v>#VALUE!</v>
      </c>
      <c r="D9" t="e">
        <f>T_All_K1_N10_P100[[#This Row],[2]]</f>
        <v>#VALUE!</v>
      </c>
      <c r="E9" t="e">
        <f>T_All_K1_N10_P100[[#This Row],[3]]</f>
        <v>#VALUE!</v>
      </c>
      <c r="F9" t="e">
        <f>T_All_K1_N10_P100[[#This Row],[4]]</f>
        <v>#VALUE!</v>
      </c>
      <c r="G9" t="e">
        <f>T_All_K1_N10_P100[[#This Row],[5]]</f>
        <v>#VALUE!</v>
      </c>
      <c r="H9" t="e">
        <f>T_All_K1_N10_P100[[#This Row],[6]]</f>
        <v>#VALUE!</v>
      </c>
      <c r="I9" t="e">
        <f>T_All_K1_N10_P100[[#This Row],[7]]</f>
        <v>#VALUE!</v>
      </c>
      <c r="J9" t="e">
        <f>T_All_K1_N10_P100[[#This Row],[8]]</f>
        <v>#VALUE!</v>
      </c>
      <c r="L9" s="1" t="e">
        <f t="shared" si="0"/>
        <v>#VALUE!</v>
      </c>
    </row>
    <row r="10" spans="1:12" x14ac:dyDescent="0.25">
      <c r="A10" t="e">
        <f>T_All_K1_N10_P100[[#This Row],[Identifier]]</f>
        <v>#VALUE!</v>
      </c>
      <c r="B10" t="e">
        <f>T_All_K1_N10_P100[[#This Row],[0]]</f>
        <v>#VALUE!</v>
      </c>
      <c r="C10" t="e">
        <f>T_All_K1_N10_P100[[#This Row],[1]]</f>
        <v>#VALUE!</v>
      </c>
      <c r="D10" t="e">
        <f>T_All_K1_N10_P100[[#This Row],[2]]</f>
        <v>#VALUE!</v>
      </c>
      <c r="E10" t="e">
        <f>T_All_K1_N10_P100[[#This Row],[3]]</f>
        <v>#VALUE!</v>
      </c>
      <c r="F10" t="e">
        <f>T_All_K1_N10_P100[[#This Row],[4]]</f>
        <v>#VALUE!</v>
      </c>
      <c r="G10" t="e">
        <f>T_All_K1_N10_P100[[#This Row],[5]]</f>
        <v>#VALUE!</v>
      </c>
      <c r="H10" t="e">
        <f>T_All_K1_N10_P100[[#This Row],[6]]</f>
        <v>#VALUE!</v>
      </c>
      <c r="I10" t="e">
        <f>T_All_K1_N10_P100[[#This Row],[7]]</f>
        <v>#VALUE!</v>
      </c>
      <c r="J10" t="e">
        <f>T_All_K1_N10_P100[[#This Row],[8]]</f>
        <v>#VALUE!</v>
      </c>
      <c r="L10" s="1" t="e">
        <f t="shared" si="0"/>
        <v>#VALUE!</v>
      </c>
    </row>
    <row r="11" spans="1:12" x14ac:dyDescent="0.25">
      <c r="A11" t="e">
        <f>T_All_K1_N10_P100[[#This Row],[Identifier]]</f>
        <v>#VALUE!</v>
      </c>
      <c r="B11" t="e">
        <f>T_All_K1_N10_P100[[#This Row],[0]]</f>
        <v>#VALUE!</v>
      </c>
      <c r="C11" t="e">
        <f>T_All_K1_N10_P100[[#This Row],[1]]</f>
        <v>#VALUE!</v>
      </c>
      <c r="D11" t="e">
        <f>T_All_K1_N10_P100[[#This Row],[2]]</f>
        <v>#VALUE!</v>
      </c>
      <c r="E11" t="e">
        <f>T_All_K1_N10_P100[[#This Row],[3]]</f>
        <v>#VALUE!</v>
      </c>
      <c r="F11" t="e">
        <f>T_All_K1_N10_P100[[#This Row],[4]]</f>
        <v>#VALUE!</v>
      </c>
      <c r="G11" t="e">
        <f>T_All_K1_N10_P100[[#This Row],[5]]</f>
        <v>#VALUE!</v>
      </c>
      <c r="H11" t="e">
        <f>T_All_K1_N10_P100[[#This Row],[6]]</f>
        <v>#VALUE!</v>
      </c>
      <c r="I11" t="e">
        <f>T_All_K1_N10_P100[[#This Row],[7]]</f>
        <v>#VALUE!</v>
      </c>
      <c r="J11" t="e">
        <f>T_All_K1_N10_P100[[#This Row],[8]]</f>
        <v>#VALUE!</v>
      </c>
      <c r="L11" s="1" t="e">
        <f t="shared" si="0"/>
        <v>#VALUE!</v>
      </c>
    </row>
    <row r="14" spans="1:12" x14ac:dyDescent="0.25">
      <c r="K14" s="3" t="s">
        <v>23</v>
      </c>
      <c r="L14" s="1">
        <f>AVERAGE(L2:L3)</f>
        <v>0.42684452419401903</v>
      </c>
    </row>
    <row r="15" spans="1:12" x14ac:dyDescent="0.25">
      <c r="L15" s="1"/>
    </row>
    <row r="17" spans="1:12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6" t="s">
        <v>22</v>
      </c>
    </row>
    <row r="18" spans="1:12" x14ac:dyDescent="0.25">
      <c r="A18" s="6" t="s">
        <v>24</v>
      </c>
      <c r="B18" s="5">
        <f>AVERAGE(B2:B3)</f>
        <v>6.7471409563711919</v>
      </c>
      <c r="C18" s="5">
        <f t="shared" ref="C18:J18" si="1">AVERAGE(C2:C3)</f>
        <v>5.8396137032016942</v>
      </c>
      <c r="D18" s="5">
        <f t="shared" si="1"/>
        <v>6.8648544454393203</v>
      </c>
      <c r="E18" s="5">
        <f t="shared" si="1"/>
        <v>7.7646757117314875</v>
      </c>
      <c r="F18" s="5">
        <f t="shared" si="1"/>
        <v>8.5837818641661112</v>
      </c>
      <c r="G18" s="5">
        <f t="shared" si="1"/>
        <v>7.8555186778818831</v>
      </c>
      <c r="H18" s="5">
        <f t="shared" si="1"/>
        <v>13.609426517603341</v>
      </c>
      <c r="I18" s="5">
        <f t="shared" si="1"/>
        <v>13.621100382035104</v>
      </c>
      <c r="J18" s="5">
        <f t="shared" si="1"/>
        <v>13.130995590996122</v>
      </c>
      <c r="K18" s="5"/>
      <c r="L18" s="5">
        <f>RSQ(B1:J1,B18:J18)</f>
        <v>0.79989463412165207</v>
      </c>
    </row>
  </sheetData>
  <conditionalFormatting sqref="L1:L1048576">
    <cfRule type="containsBlanks" dxfId="7" priority="1">
      <formula>LEN(TRIM(L1))=0</formula>
    </cfRule>
    <cfRule type="cellIs" dxfId="6" priority="2" operator="between">
      <formula>0</formula>
      <formula>0.1</formula>
    </cfRule>
    <cfRule type="cellIs" dxfId="5" priority="3" operator="greaterThan">
      <formula>0.2</formula>
    </cfRule>
    <cfRule type="cellIs" dxfId="4" priority="4" operator="between">
      <formula>0.1</formula>
      <formula>0.2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8F9B-68B4-4F1B-88F2-928C43112455}">
  <dimension ref="A1:L18"/>
  <sheetViews>
    <sheetView workbookViewId="0">
      <selection activeCell="A19" sqref="A19"/>
    </sheetView>
  </sheetViews>
  <sheetFormatPr defaultRowHeight="15" x14ac:dyDescent="0.25"/>
  <cols>
    <col min="1" max="1" width="67.5703125" bestFit="1" customWidth="1"/>
    <col min="11" max="11" width="10.7109375" customWidth="1"/>
  </cols>
  <sheetData>
    <row r="1" spans="1:12" x14ac:dyDescent="0.25">
      <c r="A1" s="3" t="s">
        <v>11</v>
      </c>
      <c r="B1" s="3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K1" s="3" t="s">
        <v>27</v>
      </c>
      <c r="L1" s="3" t="s">
        <v>21</v>
      </c>
    </row>
    <row r="2" spans="1:12" x14ac:dyDescent="0.25">
      <c r="A2" t="str">
        <f>T_All_K1_N10_P100[[#This Row],[Identifier]]</f>
        <v>17a03f18e15e47f9b481159194e2afbd33313bc339194f1b30a39798a8fbfe39</v>
      </c>
      <c r="B2">
        <f>(T_All_K1_N10_P100[[#This Row],[1]]-T_All_K1_N10_P100[[#This Row],[0]])/ABS(T_All_K1_N10_P100[[#This Row],[0]])</f>
        <v>-0.38789735292434585</v>
      </c>
      <c r="C2">
        <f>(T_All_K1_N10_P100[[#This Row],[2]]-T_All_K1_N10_P100[[#This Row],[1]])/ABS(T_All_K1_N10_P100[[#This Row],[1]])</f>
        <v>0.16635567733543194</v>
      </c>
      <c r="D2">
        <f>(T_All_K1_N10_P100[[#This Row],[3]]-T_All_K1_N10_P100[[#This Row],[2]])/ABS(T_All_K1_N10_P100[[#This Row],[2]])</f>
        <v>0.80690776524495511</v>
      </c>
      <c r="E2">
        <f>(T_All_K1_N10_P100[[#This Row],[4]]-T_All_K1_N10_P100[[#This Row],[3]])/ABS(T_All_K1_N10_P100[[#This Row],[3]])</f>
        <v>-0.40549145847125989</v>
      </c>
      <c r="F2">
        <f>(T_All_K1_N10_P100[[#This Row],[5]]-T_All_K1_N10_P100[[#This Row],[4]])/ABS(T_All_K1_N10_P100[[#This Row],[4]])</f>
        <v>-0.21605007584035868</v>
      </c>
      <c r="G2">
        <f>(T_All_K1_N10_P100[[#This Row],[6]]-T_All_K1_N10_P100[[#This Row],[5]])/ABS(T_All_K1_N10_P100[[#This Row],[5]])</f>
        <v>1.3091325707817696</v>
      </c>
      <c r="H2">
        <f>(T_All_K1_N10_P100[[#This Row],[7]]-T_All_K1_N10_P100[[#This Row],[6]])/ABS(T_All_K1_N10_P100[[#This Row],[6]])</f>
        <v>-0.4547279351325777</v>
      </c>
      <c r="I2">
        <f>(T_All_K1_N10_P100[[#This Row],[8]]-T_All_K1_N10_P100[[#This Row],[7]])/ABS(T_All_K1_N10_P100[[#This Row],[7]])</f>
        <v>0.93044645656326419</v>
      </c>
      <c r="K2">
        <f t="shared" ref="K2:K10" si="0">AVERAGE(B2:I2)</f>
        <v>0.21858445594460985</v>
      </c>
      <c r="L2">
        <f>(T_All_K1_N10_P100[[#This Row],[8]]-T_All_K1_N10_P100[[#This Row],[0]])/ABS(T_All_K1_N10_P100[[#This Row],[0]])</f>
        <v>0.46136111430123078</v>
      </c>
    </row>
    <row r="3" spans="1:12" x14ac:dyDescent="0.25">
      <c r="A3" t="str">
        <f>T_All_K1_N10_P100[[#This Row],[Identifier]]</f>
        <v>0a8c5c9f3b8b0d711510c46c19219bab89c89cebb6d7397aa3a8a7ccec1265e8</v>
      </c>
      <c r="B3">
        <f>(T_All_K1_N10_P100[[#This Row],[1]]-T_All_K1_N10_P100[[#This Row],[0]])/ABS(T_All_K1_N10_P100[[#This Row],[0]])</f>
        <v>0.38660191090141177</v>
      </c>
      <c r="C3">
        <f>(T_All_K1_N10_P100[[#This Row],[2]]-T_All_K1_N10_P100[[#This Row],[1]])/ABS(T_All_K1_N10_P100[[#This Row],[1]])</f>
        <v>0.18392847399034826</v>
      </c>
      <c r="D3">
        <f>(T_All_K1_N10_P100[[#This Row],[3]]-T_All_K1_N10_P100[[#This Row],[2]])/ABS(T_All_K1_N10_P100[[#This Row],[2]])</f>
        <v>-0.47336007169461991</v>
      </c>
      <c r="E3">
        <f>(T_All_K1_N10_P100[[#This Row],[4]]-T_All_K1_N10_P100[[#This Row],[3]])/ABS(T_All_K1_N10_P100[[#This Row],[3]])</f>
        <v>1.6734730264983992</v>
      </c>
      <c r="F3">
        <f>(T_All_K1_N10_P100[[#This Row],[5]]-T_All_K1_N10_P100[[#This Row],[4]])/ABS(T_All_K1_N10_P100[[#This Row],[4]])</f>
        <v>4.6902467415959985E-3</v>
      </c>
      <c r="G3">
        <f>(T_All_K1_N10_P100[[#This Row],[6]]-T_All_K1_N10_P100[[#This Row],[5]])/ABS(T_All_K1_N10_P100[[#This Row],[5]])</f>
        <v>0.42542538591470136</v>
      </c>
      <c r="H3">
        <f>(T_All_K1_N10_P100[[#This Row],[7]]-T_All_K1_N10_P100[[#This Row],[6]])/ABS(T_All_K1_N10_P100[[#This Row],[6]])</f>
        <v>0.39381709681825</v>
      </c>
      <c r="I3">
        <f>(T_All_K1_N10_P100[[#This Row],[8]]-T_All_K1_N10_P100[[#This Row],[7]])/ABS(T_All_K1_N10_P100[[#This Row],[7]])</f>
        <v>-0.36208395758183654</v>
      </c>
      <c r="K3">
        <f t="shared" si="0"/>
        <v>0.27906151394853129</v>
      </c>
      <c r="L3">
        <f>(T_All_K1_N10_P100[[#This Row],[8]]-T_All_K1_N10_P100[[#This Row],[0]])/ABS(T_All_K1_N10_P100[[#This Row],[0]])</f>
        <v>1.9431529786995743</v>
      </c>
    </row>
    <row r="4" spans="1:12" x14ac:dyDescent="0.25">
      <c r="A4" t="e">
        <f>T_All_K1_N10_P100[[#This Row],[Identifier]]</f>
        <v>#VALUE!</v>
      </c>
      <c r="B4" t="e">
        <f>(T_All_K1_N10_P100[[#This Row],[1]]-T_All_K1_N10_P100[[#This Row],[0]])/ABS(T_All_K1_N10_P100[[#This Row],[0]])</f>
        <v>#VALUE!</v>
      </c>
      <c r="C4" t="e">
        <f>(T_All_K1_N10_P100[[#This Row],[2]]-T_All_K1_N10_P100[[#This Row],[1]])/ABS(T_All_K1_N10_P100[[#This Row],[1]])</f>
        <v>#VALUE!</v>
      </c>
      <c r="D4" t="e">
        <f>(T_All_K1_N10_P100[[#This Row],[3]]-T_All_K1_N10_P100[[#This Row],[2]])/ABS(T_All_K1_N10_P100[[#This Row],[2]])</f>
        <v>#VALUE!</v>
      </c>
      <c r="E4" t="e">
        <f>(T_All_K1_N10_P100[[#This Row],[4]]-T_All_K1_N10_P100[[#This Row],[3]])/ABS(T_All_K1_N10_P100[[#This Row],[3]])</f>
        <v>#VALUE!</v>
      </c>
      <c r="F4" t="e">
        <f>(T_All_K1_N10_P100[[#This Row],[5]]-T_All_K1_N10_P100[[#This Row],[4]])/ABS(T_All_K1_N10_P100[[#This Row],[4]])</f>
        <v>#VALUE!</v>
      </c>
      <c r="G4" t="e">
        <f>(T_All_K1_N10_P100[[#This Row],[6]]-T_All_K1_N10_P100[[#This Row],[5]])/ABS(T_All_K1_N10_P100[[#This Row],[5]])</f>
        <v>#VALUE!</v>
      </c>
      <c r="H4" t="e">
        <f>(T_All_K1_N10_P100[[#This Row],[7]]-T_All_K1_N10_P100[[#This Row],[6]])/ABS(T_All_K1_N10_P100[[#This Row],[6]])</f>
        <v>#VALUE!</v>
      </c>
      <c r="I4" t="e">
        <f>(T_All_K1_N10_P100[[#This Row],[8]]-T_All_K1_N10_P100[[#This Row],[7]])/ABS(T_All_K1_N10_P100[[#This Row],[7]])</f>
        <v>#VALUE!</v>
      </c>
      <c r="K4" t="e">
        <f t="shared" si="0"/>
        <v>#VALUE!</v>
      </c>
      <c r="L4" t="e">
        <f>(T_All_K1_N10_P100[[#This Row],[8]]-T_All_K1_N10_P100[[#This Row],[0]])/ABS(T_All_K1_N10_P100[[#This Row],[0]])</f>
        <v>#VALUE!</v>
      </c>
    </row>
    <row r="5" spans="1:12" x14ac:dyDescent="0.25">
      <c r="A5" t="e">
        <f>T_All_K1_N10_P100[[#This Row],[Identifier]]</f>
        <v>#VALUE!</v>
      </c>
      <c r="B5" t="e">
        <f>(T_All_K1_N10_P100[[#This Row],[1]]-T_All_K1_N10_P100[[#This Row],[0]])/ABS(T_All_K1_N10_P100[[#This Row],[0]])</f>
        <v>#VALUE!</v>
      </c>
      <c r="C5" t="e">
        <f>(T_All_K1_N10_P100[[#This Row],[2]]-T_All_K1_N10_P100[[#This Row],[1]])/ABS(T_All_K1_N10_P100[[#This Row],[1]])</f>
        <v>#VALUE!</v>
      </c>
      <c r="D5" t="e">
        <f>(T_All_K1_N10_P100[[#This Row],[3]]-T_All_K1_N10_P100[[#This Row],[2]])/ABS(T_All_K1_N10_P100[[#This Row],[2]])</f>
        <v>#VALUE!</v>
      </c>
      <c r="E5" t="e">
        <f>(T_All_K1_N10_P100[[#This Row],[4]]-T_All_K1_N10_P100[[#This Row],[3]])/ABS(T_All_K1_N10_P100[[#This Row],[3]])</f>
        <v>#VALUE!</v>
      </c>
      <c r="F5" t="e">
        <f>(T_All_K1_N10_P100[[#This Row],[5]]-T_All_K1_N10_P100[[#This Row],[4]])/ABS(T_All_K1_N10_P100[[#This Row],[4]])</f>
        <v>#VALUE!</v>
      </c>
      <c r="G5" t="e">
        <f>(T_All_K1_N10_P100[[#This Row],[6]]-T_All_K1_N10_P100[[#This Row],[5]])/ABS(T_All_K1_N10_P100[[#This Row],[5]])</f>
        <v>#VALUE!</v>
      </c>
      <c r="H5" t="e">
        <f>(T_All_K1_N10_P100[[#This Row],[7]]-T_All_K1_N10_P100[[#This Row],[6]])/ABS(T_All_K1_N10_P100[[#This Row],[6]])</f>
        <v>#VALUE!</v>
      </c>
      <c r="I5" t="e">
        <f>(T_All_K1_N10_P100[[#This Row],[8]]-T_All_K1_N10_P100[[#This Row],[7]])/ABS(T_All_K1_N10_P100[[#This Row],[7]])</f>
        <v>#VALUE!</v>
      </c>
      <c r="K5" t="e">
        <f t="shared" si="0"/>
        <v>#VALUE!</v>
      </c>
      <c r="L5" t="e">
        <f>(T_All_K1_N10_P100[[#This Row],[8]]-T_All_K1_N10_P100[[#This Row],[0]])/ABS(T_All_K1_N10_P100[[#This Row],[0]])</f>
        <v>#VALUE!</v>
      </c>
    </row>
    <row r="6" spans="1:12" x14ac:dyDescent="0.25">
      <c r="A6" t="e">
        <f>T_All_K1_N10_P100[[#This Row],[Identifier]]</f>
        <v>#VALUE!</v>
      </c>
      <c r="B6" t="e">
        <f>(T_All_K1_N10_P100[[#This Row],[1]]-T_All_K1_N10_P100[[#This Row],[0]])/ABS(T_All_K1_N10_P100[[#This Row],[0]])</f>
        <v>#VALUE!</v>
      </c>
      <c r="C6" t="e">
        <f>(T_All_K1_N10_P100[[#This Row],[2]]-T_All_K1_N10_P100[[#This Row],[1]])/ABS(T_All_K1_N10_P100[[#This Row],[1]])</f>
        <v>#VALUE!</v>
      </c>
      <c r="D6" t="e">
        <f>(T_All_K1_N10_P100[[#This Row],[3]]-T_All_K1_N10_P100[[#This Row],[2]])/ABS(T_All_K1_N10_P100[[#This Row],[2]])</f>
        <v>#VALUE!</v>
      </c>
      <c r="E6" t="e">
        <f>(T_All_K1_N10_P100[[#This Row],[4]]-T_All_K1_N10_P100[[#This Row],[3]])/ABS(T_All_K1_N10_P100[[#This Row],[3]])</f>
        <v>#VALUE!</v>
      </c>
      <c r="F6" t="e">
        <f>(T_All_K1_N10_P100[[#This Row],[5]]-T_All_K1_N10_P100[[#This Row],[4]])/ABS(T_All_K1_N10_P100[[#This Row],[4]])</f>
        <v>#VALUE!</v>
      </c>
      <c r="G6" t="e">
        <f>(T_All_K1_N10_P100[[#This Row],[6]]-T_All_K1_N10_P100[[#This Row],[5]])/ABS(T_All_K1_N10_P100[[#This Row],[5]])</f>
        <v>#VALUE!</v>
      </c>
      <c r="H6" t="e">
        <f>(T_All_K1_N10_P100[[#This Row],[7]]-T_All_K1_N10_P100[[#This Row],[6]])/ABS(T_All_K1_N10_P100[[#This Row],[6]])</f>
        <v>#VALUE!</v>
      </c>
      <c r="I6" t="e">
        <f>(T_All_K1_N10_P100[[#This Row],[8]]-T_All_K1_N10_P100[[#This Row],[7]])/ABS(T_All_K1_N10_P100[[#This Row],[7]])</f>
        <v>#VALUE!</v>
      </c>
      <c r="K6" t="e">
        <f t="shared" si="0"/>
        <v>#VALUE!</v>
      </c>
      <c r="L6" t="e">
        <f>(T_All_K1_N10_P100[[#This Row],[8]]-T_All_K1_N10_P100[[#This Row],[0]])/ABS(T_All_K1_N10_P100[[#This Row],[0]])</f>
        <v>#VALUE!</v>
      </c>
    </row>
    <row r="7" spans="1:12" x14ac:dyDescent="0.25">
      <c r="A7" t="e">
        <f>T_All_K1_N10_P100[[#This Row],[Identifier]]</f>
        <v>#VALUE!</v>
      </c>
      <c r="B7" t="e">
        <f>(T_All_K1_N10_P100[[#This Row],[1]]-T_All_K1_N10_P100[[#This Row],[0]])/ABS(T_All_K1_N10_P100[[#This Row],[0]])</f>
        <v>#VALUE!</v>
      </c>
      <c r="C7" t="e">
        <f>(T_All_K1_N10_P100[[#This Row],[2]]-T_All_K1_N10_P100[[#This Row],[1]])/ABS(T_All_K1_N10_P100[[#This Row],[1]])</f>
        <v>#VALUE!</v>
      </c>
      <c r="D7" t="e">
        <f>(T_All_K1_N10_P100[[#This Row],[3]]-T_All_K1_N10_P100[[#This Row],[2]])/ABS(T_All_K1_N10_P100[[#This Row],[2]])</f>
        <v>#VALUE!</v>
      </c>
      <c r="E7" t="e">
        <f>(T_All_K1_N10_P100[[#This Row],[4]]-T_All_K1_N10_P100[[#This Row],[3]])/ABS(T_All_K1_N10_P100[[#This Row],[3]])</f>
        <v>#VALUE!</v>
      </c>
      <c r="F7" t="e">
        <f>(T_All_K1_N10_P100[[#This Row],[5]]-T_All_K1_N10_P100[[#This Row],[4]])/ABS(T_All_K1_N10_P100[[#This Row],[4]])</f>
        <v>#VALUE!</v>
      </c>
      <c r="G7" t="e">
        <f>(T_All_K1_N10_P100[[#This Row],[6]]-T_All_K1_N10_P100[[#This Row],[5]])/ABS(T_All_K1_N10_P100[[#This Row],[5]])</f>
        <v>#VALUE!</v>
      </c>
      <c r="H7" t="e">
        <f>(T_All_K1_N10_P100[[#This Row],[7]]-T_All_K1_N10_P100[[#This Row],[6]])/ABS(T_All_K1_N10_P100[[#This Row],[6]])</f>
        <v>#VALUE!</v>
      </c>
      <c r="I7" t="e">
        <f>(T_All_K1_N10_P100[[#This Row],[8]]-T_All_K1_N10_P100[[#This Row],[7]])/ABS(T_All_K1_N10_P100[[#This Row],[7]])</f>
        <v>#VALUE!</v>
      </c>
      <c r="K7" t="e">
        <f t="shared" si="0"/>
        <v>#VALUE!</v>
      </c>
      <c r="L7" t="e">
        <f>(T_All_K1_N10_P100[[#This Row],[8]]-T_All_K1_N10_P100[[#This Row],[0]])/ABS(T_All_K1_N10_P100[[#This Row],[0]])</f>
        <v>#VALUE!</v>
      </c>
    </row>
    <row r="8" spans="1:12" x14ac:dyDescent="0.25">
      <c r="A8" t="e">
        <f>T_All_K1_N10_P100[[#This Row],[Identifier]]</f>
        <v>#VALUE!</v>
      </c>
      <c r="B8" t="e">
        <f>(T_All_K1_N10_P100[[#This Row],[1]]-T_All_K1_N10_P100[[#This Row],[0]])/ABS(T_All_K1_N10_P100[[#This Row],[0]])</f>
        <v>#VALUE!</v>
      </c>
      <c r="C8" t="e">
        <f>(T_All_K1_N10_P100[[#This Row],[2]]-T_All_K1_N10_P100[[#This Row],[1]])/ABS(T_All_K1_N10_P100[[#This Row],[1]])</f>
        <v>#VALUE!</v>
      </c>
      <c r="D8" t="e">
        <f>(T_All_K1_N10_P100[[#This Row],[3]]-T_All_K1_N10_P100[[#This Row],[2]])/ABS(T_All_K1_N10_P100[[#This Row],[2]])</f>
        <v>#VALUE!</v>
      </c>
      <c r="E8" t="e">
        <f>(T_All_K1_N10_P100[[#This Row],[4]]-T_All_K1_N10_P100[[#This Row],[3]])/ABS(T_All_K1_N10_P100[[#This Row],[3]])</f>
        <v>#VALUE!</v>
      </c>
      <c r="F8" t="e">
        <f>(T_All_K1_N10_P100[[#This Row],[5]]-T_All_K1_N10_P100[[#This Row],[4]])/ABS(T_All_K1_N10_P100[[#This Row],[4]])</f>
        <v>#VALUE!</v>
      </c>
      <c r="G8" t="e">
        <f>(T_All_K1_N10_P100[[#This Row],[6]]-T_All_K1_N10_P100[[#This Row],[5]])/ABS(T_All_K1_N10_P100[[#This Row],[5]])</f>
        <v>#VALUE!</v>
      </c>
      <c r="H8" t="e">
        <f>(T_All_K1_N10_P100[[#This Row],[7]]-T_All_K1_N10_P100[[#This Row],[6]])/ABS(T_All_K1_N10_P100[[#This Row],[6]])</f>
        <v>#VALUE!</v>
      </c>
      <c r="I8" t="e">
        <f>(T_All_K1_N10_P100[[#This Row],[8]]-T_All_K1_N10_P100[[#This Row],[7]])/ABS(T_All_K1_N10_P100[[#This Row],[7]])</f>
        <v>#VALUE!</v>
      </c>
      <c r="K8" t="e">
        <f t="shared" si="0"/>
        <v>#VALUE!</v>
      </c>
      <c r="L8" t="e">
        <f>(T_All_K1_N10_P100[[#This Row],[8]]-T_All_K1_N10_P100[[#This Row],[0]])/ABS(T_All_K1_N10_P100[[#This Row],[0]])</f>
        <v>#VALUE!</v>
      </c>
    </row>
    <row r="9" spans="1:12" x14ac:dyDescent="0.25">
      <c r="A9" t="e">
        <f>T_All_K1_N10_P100[[#This Row],[Identifier]]</f>
        <v>#VALUE!</v>
      </c>
      <c r="B9" t="e">
        <f>(T_All_K1_N10_P100[[#This Row],[1]]-T_All_K1_N10_P100[[#This Row],[0]])/ABS(T_All_K1_N10_P100[[#This Row],[0]])</f>
        <v>#VALUE!</v>
      </c>
      <c r="C9" t="e">
        <f>(T_All_K1_N10_P100[[#This Row],[2]]-T_All_K1_N10_P100[[#This Row],[1]])/ABS(T_All_K1_N10_P100[[#This Row],[1]])</f>
        <v>#VALUE!</v>
      </c>
      <c r="D9" t="e">
        <f>(T_All_K1_N10_P100[[#This Row],[3]]-T_All_K1_N10_P100[[#This Row],[2]])/ABS(T_All_K1_N10_P100[[#This Row],[2]])</f>
        <v>#VALUE!</v>
      </c>
      <c r="E9" t="e">
        <f>(T_All_K1_N10_P100[[#This Row],[4]]-T_All_K1_N10_P100[[#This Row],[3]])/ABS(T_All_K1_N10_P100[[#This Row],[3]])</f>
        <v>#VALUE!</v>
      </c>
      <c r="F9" t="e">
        <f>(T_All_K1_N10_P100[[#This Row],[5]]-T_All_K1_N10_P100[[#This Row],[4]])/ABS(T_All_K1_N10_P100[[#This Row],[4]])</f>
        <v>#VALUE!</v>
      </c>
      <c r="G9" t="e">
        <f>(T_All_K1_N10_P100[[#This Row],[6]]-T_All_K1_N10_P100[[#This Row],[5]])/ABS(T_All_K1_N10_P100[[#This Row],[5]])</f>
        <v>#VALUE!</v>
      </c>
      <c r="H9" t="e">
        <f>(T_All_K1_N10_P100[[#This Row],[7]]-T_All_K1_N10_P100[[#This Row],[6]])/ABS(T_All_K1_N10_P100[[#This Row],[6]])</f>
        <v>#VALUE!</v>
      </c>
      <c r="I9" t="e">
        <f>(T_All_K1_N10_P100[[#This Row],[8]]-T_All_K1_N10_P100[[#This Row],[7]])/ABS(T_All_K1_N10_P100[[#This Row],[7]])</f>
        <v>#VALUE!</v>
      </c>
      <c r="K9" t="e">
        <f t="shared" si="0"/>
        <v>#VALUE!</v>
      </c>
      <c r="L9" t="e">
        <f>(T_All_K1_N10_P100[[#This Row],[8]]-T_All_K1_N10_P100[[#This Row],[0]])/ABS(T_All_K1_N10_P100[[#This Row],[0]])</f>
        <v>#VALUE!</v>
      </c>
    </row>
    <row r="10" spans="1:12" x14ac:dyDescent="0.25">
      <c r="A10" t="e">
        <f>T_All_K1_N10_P100[[#This Row],[Identifier]]</f>
        <v>#VALUE!</v>
      </c>
      <c r="B10" t="e">
        <f>(T_All_K1_N10_P100[[#This Row],[1]]-T_All_K1_N10_P100[[#This Row],[0]])/ABS(T_All_K1_N10_P100[[#This Row],[0]])</f>
        <v>#VALUE!</v>
      </c>
      <c r="C10" t="e">
        <f>(T_All_K1_N10_P100[[#This Row],[2]]-T_All_K1_N10_P100[[#This Row],[1]])/ABS(T_All_K1_N10_P100[[#This Row],[1]])</f>
        <v>#VALUE!</v>
      </c>
      <c r="D10" t="e">
        <f>(T_All_K1_N10_P100[[#This Row],[3]]-T_All_K1_N10_P100[[#This Row],[2]])/ABS(T_All_K1_N10_P100[[#This Row],[2]])</f>
        <v>#VALUE!</v>
      </c>
      <c r="E10" t="e">
        <f>(T_All_K1_N10_P100[[#This Row],[4]]-T_All_K1_N10_P100[[#This Row],[3]])/ABS(T_All_K1_N10_P100[[#This Row],[3]])</f>
        <v>#VALUE!</v>
      </c>
      <c r="F10" t="e">
        <f>(T_All_K1_N10_P100[[#This Row],[5]]-T_All_K1_N10_P100[[#This Row],[4]])/ABS(T_All_K1_N10_P100[[#This Row],[4]])</f>
        <v>#VALUE!</v>
      </c>
      <c r="G10" t="e">
        <f>(T_All_K1_N10_P100[[#This Row],[6]]-T_All_K1_N10_P100[[#This Row],[5]])/ABS(T_All_K1_N10_P100[[#This Row],[5]])</f>
        <v>#VALUE!</v>
      </c>
      <c r="H10" t="e">
        <f>(T_All_K1_N10_P100[[#This Row],[7]]-T_All_K1_N10_P100[[#This Row],[6]])/ABS(T_All_K1_N10_P100[[#This Row],[6]])</f>
        <v>#VALUE!</v>
      </c>
      <c r="I10" t="e">
        <f>(T_All_K1_N10_P100[[#This Row],[8]]-T_All_K1_N10_P100[[#This Row],[7]])/ABS(T_All_K1_N10_P100[[#This Row],[7]])</f>
        <v>#VALUE!</v>
      </c>
      <c r="K10" t="e">
        <f t="shared" si="0"/>
        <v>#VALUE!</v>
      </c>
      <c r="L10" t="e">
        <f>(T_All_K1_N10_P100[[#This Row],[8]]-T_All_K1_N10_P100[[#This Row],[0]])/ABS(T_All_K1_N10_P100[[#This Row],[0]])</f>
        <v>#VALUE!</v>
      </c>
    </row>
    <row r="11" spans="1:12" x14ac:dyDescent="0.25">
      <c r="A11" t="e">
        <f>T_All_K1_N10_P100[[#This Row],[Identifier]]</f>
        <v>#VALUE!</v>
      </c>
      <c r="B11" t="e">
        <f>(T_All_K1_N10_P100[[#This Row],[1]]-T_All_K1_N10_P100[[#This Row],[0]])/ABS(T_All_K1_N10_P100[[#This Row],[0]])</f>
        <v>#VALUE!</v>
      </c>
      <c r="C11" t="e">
        <f>(T_All_K1_N10_P100[[#This Row],[2]]-T_All_K1_N10_P100[[#This Row],[1]])/ABS(T_All_K1_N10_P100[[#This Row],[1]])</f>
        <v>#VALUE!</v>
      </c>
      <c r="D11" t="e">
        <f>(T_All_K1_N10_P100[[#This Row],[3]]-T_All_K1_N10_P100[[#This Row],[2]])/ABS(T_All_K1_N10_P100[[#This Row],[2]])</f>
        <v>#VALUE!</v>
      </c>
      <c r="E11" t="e">
        <f>(T_All_K1_N10_P100[[#This Row],[4]]-T_All_K1_N10_P100[[#This Row],[3]])/ABS(T_All_K1_N10_P100[[#This Row],[3]])</f>
        <v>#VALUE!</v>
      </c>
      <c r="F11" t="e">
        <f>(T_All_K1_N10_P100[[#This Row],[5]]-T_All_K1_N10_P100[[#This Row],[4]])/ABS(T_All_K1_N10_P100[[#This Row],[4]])</f>
        <v>#VALUE!</v>
      </c>
      <c r="G11" t="e">
        <f>(T_All_K1_N10_P100[[#This Row],[6]]-T_All_K1_N10_P100[[#This Row],[5]])/ABS(T_All_K1_N10_P100[[#This Row],[5]])</f>
        <v>#VALUE!</v>
      </c>
      <c r="H11" t="e">
        <f>(T_All_K1_N10_P100[[#This Row],[7]]-T_All_K1_N10_P100[[#This Row],[6]])/ABS(T_All_K1_N10_P100[[#This Row],[6]])</f>
        <v>#VALUE!</v>
      </c>
      <c r="I11" t="e">
        <f>(T_All_K1_N10_P100[[#This Row],[8]]-T_All_K1_N10_P100[[#This Row],[7]])/ABS(T_All_K1_N10_P100[[#This Row],[7]])</f>
        <v>#VALUE!</v>
      </c>
      <c r="K11" t="e">
        <f>AVERAGE(B11:I11)</f>
        <v>#VALUE!</v>
      </c>
      <c r="L11" t="e">
        <f>(T_All_K1_N10_P100[[#This Row],[8]]-T_All_K1_N10_P100[[#This Row],[0]])/ABS(T_All_K1_N10_P100[[#This Row],[0]])</f>
        <v>#VALUE!</v>
      </c>
    </row>
    <row r="14" spans="1:12" x14ac:dyDescent="0.25">
      <c r="J14" s="3" t="s">
        <v>20</v>
      </c>
      <c r="K14">
        <f>AVERAGE(K2:K3)</f>
        <v>0.24882298494657057</v>
      </c>
      <c r="L14">
        <f>AVERAGE(L2:L3)</f>
        <v>1.2022570465004025</v>
      </c>
    </row>
    <row r="17" spans="1:12" x14ac:dyDescent="0.25">
      <c r="A17" s="5"/>
      <c r="B17" s="6" t="s">
        <v>12</v>
      </c>
      <c r="C17" s="7" t="s">
        <v>13</v>
      </c>
      <c r="D17" s="7" t="s">
        <v>14</v>
      </c>
      <c r="E17" s="7" t="s">
        <v>15</v>
      </c>
      <c r="F17" s="7" t="s">
        <v>16</v>
      </c>
      <c r="G17" s="7" t="s">
        <v>17</v>
      </c>
      <c r="H17" s="7" t="s">
        <v>18</v>
      </c>
      <c r="I17" s="7" t="s">
        <v>19</v>
      </c>
      <c r="J17" s="5"/>
      <c r="K17" s="6" t="s">
        <v>20</v>
      </c>
      <c r="L17" s="6" t="s">
        <v>21</v>
      </c>
    </row>
    <row r="18" spans="1:12" x14ac:dyDescent="0.25">
      <c r="A18" s="5" t="s">
        <v>28</v>
      </c>
      <c r="B18" s="5">
        <f>AVERAGE(B2:B3)</f>
        <v>-6.4772101146703953E-4</v>
      </c>
      <c r="C18" s="5">
        <f t="shared" ref="C18:I18" si="1">AVERAGE(C2:C3)</f>
        <v>0.17514207566289008</v>
      </c>
      <c r="D18" s="5">
        <f t="shared" si="1"/>
        <v>0.1667738467751676</v>
      </c>
      <c r="E18" s="5">
        <f t="shared" si="1"/>
        <v>0.63399078401356967</v>
      </c>
      <c r="F18" s="5">
        <f t="shared" si="1"/>
        <v>-0.10567991454938135</v>
      </c>
      <c r="G18" s="5">
        <f t="shared" si="1"/>
        <v>0.86727897834823553</v>
      </c>
      <c r="H18" s="5">
        <f t="shared" si="1"/>
        <v>-3.0455419157163849E-2</v>
      </c>
      <c r="I18" s="5">
        <f t="shared" si="1"/>
        <v>0.28418124949071383</v>
      </c>
      <c r="J18" s="5"/>
      <c r="K18" s="5">
        <f>AVERAGE(B18:I18)</f>
        <v>0.24882298494657057</v>
      </c>
      <c r="L18" s="5">
        <f>('Relative Change'!I18-B18)/(ABS(B18))</f>
        <v>439.74020521129091</v>
      </c>
    </row>
  </sheetData>
  <conditionalFormatting sqref="A18:XFD18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K1:L1048576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F9AE41-864E-4DEE-83D1-140C60385C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T-All_K1 N10 P100</vt:lpstr>
      <vt:lpstr>R Squared</vt:lpstr>
      <vt:lpstr>Relative 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Sobb</dc:creator>
  <cp:lastModifiedBy>Theresa Sobb</cp:lastModifiedBy>
  <dcterms:created xsi:type="dcterms:W3CDTF">2025-11-26T04:05:36Z</dcterms:created>
  <dcterms:modified xsi:type="dcterms:W3CDTF">2025-12-17T22:48:51Z</dcterms:modified>
</cp:coreProperties>
</file>