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Cumulative_Outputs\Results\"/>
    </mc:Choice>
  </mc:AlternateContent>
  <xr:revisionPtr revIDLastSave="0" documentId="13_ncr:1_{324ABD5D-304E-442D-94AA-FC584118751C}" xr6:coauthVersionLast="47" xr6:coauthVersionMax="47" xr10:uidLastSave="{00000000-0000-0000-0000-000000000000}"/>
  <bookViews>
    <workbookView xWindow="13170" yWindow="0" windowWidth="13170" windowHeight="15600" activeTab="2" xr2:uid="{5CF18307-C3AA-4F8D-B283-B3AED6997DE3}"/>
  </bookViews>
  <sheets>
    <sheet name="T-All_K1 N10 P80" sheetId="8" r:id="rId1"/>
    <sheet name="R Squared" sheetId="1" r:id="rId2"/>
    <sheet name="Relative Change" sheetId="3" r:id="rId3"/>
    <sheet name="Graphs" sheetId="4" r:id="rId4"/>
  </sheets>
  <definedNames>
    <definedName name="ExternalData_1" localSheetId="0" hidden="1">'T-All_K1 N10 P80'!$A$1:$L$11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2" i="3"/>
  <c r="B3" i="3"/>
  <c r="C3" i="3"/>
  <c r="D3" i="3"/>
  <c r="E3" i="3"/>
  <c r="F3" i="3"/>
  <c r="G3" i="3"/>
  <c r="H3" i="3"/>
  <c r="I3" i="3"/>
  <c r="B4" i="3"/>
  <c r="C4" i="3"/>
  <c r="D4" i="3"/>
  <c r="E4" i="3"/>
  <c r="F4" i="3"/>
  <c r="G4" i="3"/>
  <c r="H4" i="3"/>
  <c r="I4" i="3"/>
  <c r="B5" i="3"/>
  <c r="C5" i="3"/>
  <c r="D5" i="3"/>
  <c r="E5" i="3"/>
  <c r="F5" i="3"/>
  <c r="G5" i="3"/>
  <c r="H5" i="3"/>
  <c r="I5" i="3"/>
  <c r="B6" i="3"/>
  <c r="C6" i="3"/>
  <c r="D6" i="3"/>
  <c r="E6" i="3"/>
  <c r="F6" i="3"/>
  <c r="G6" i="3"/>
  <c r="H6" i="3"/>
  <c r="I6" i="3"/>
  <c r="B7" i="3"/>
  <c r="C7" i="3"/>
  <c r="D7" i="3"/>
  <c r="E7" i="3"/>
  <c r="F7" i="3"/>
  <c r="G7" i="3"/>
  <c r="H7" i="3"/>
  <c r="I7" i="3"/>
  <c r="B8" i="3"/>
  <c r="C8" i="3"/>
  <c r="D8" i="3"/>
  <c r="E8" i="3"/>
  <c r="F8" i="3"/>
  <c r="G8" i="3"/>
  <c r="H8" i="3"/>
  <c r="I8" i="3"/>
  <c r="B9" i="3"/>
  <c r="C9" i="3"/>
  <c r="D9" i="3"/>
  <c r="E9" i="3"/>
  <c r="F9" i="3"/>
  <c r="G9" i="3"/>
  <c r="H9" i="3"/>
  <c r="I9" i="3"/>
  <c r="B10" i="3"/>
  <c r="C10" i="3"/>
  <c r="D10" i="3"/>
  <c r="E10" i="3"/>
  <c r="F10" i="3"/>
  <c r="G10" i="3"/>
  <c r="H10" i="3"/>
  <c r="I10" i="3"/>
  <c r="B11" i="3"/>
  <c r="C11" i="3"/>
  <c r="D11" i="3"/>
  <c r="E11" i="3"/>
  <c r="F11" i="3"/>
  <c r="G11" i="3"/>
  <c r="H11" i="3"/>
  <c r="I11" i="3"/>
  <c r="C2" i="3"/>
  <c r="D2" i="3"/>
  <c r="E2" i="3"/>
  <c r="F2" i="3"/>
  <c r="G2" i="3"/>
  <c r="H2" i="3"/>
  <c r="I2" i="3"/>
  <c r="B2" i="3"/>
  <c r="A3" i="3"/>
  <c r="A4" i="3"/>
  <c r="A5" i="3"/>
  <c r="A6" i="3"/>
  <c r="A7" i="3"/>
  <c r="A8" i="3"/>
  <c r="A9" i="3"/>
  <c r="A10" i="3"/>
  <c r="A11" i="3"/>
  <c r="A2" i="3"/>
  <c r="B2" i="1"/>
  <c r="C2" i="1"/>
  <c r="D2" i="1"/>
  <c r="E2" i="1"/>
  <c r="F2" i="1"/>
  <c r="G2" i="1"/>
  <c r="H2" i="1"/>
  <c r="I2" i="1"/>
  <c r="J2" i="1"/>
  <c r="B3" i="1"/>
  <c r="C3" i="1"/>
  <c r="D3" i="1"/>
  <c r="E3" i="1"/>
  <c r="F3" i="1"/>
  <c r="G3" i="1"/>
  <c r="H3" i="1"/>
  <c r="I3" i="1"/>
  <c r="J3" i="1"/>
  <c r="B4" i="1"/>
  <c r="C4" i="1"/>
  <c r="D4" i="1"/>
  <c r="E4" i="1"/>
  <c r="F4" i="1"/>
  <c r="G4" i="1"/>
  <c r="H4" i="1"/>
  <c r="I4" i="1"/>
  <c r="J4" i="1"/>
  <c r="B5" i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A3" i="1"/>
  <c r="A4" i="1"/>
  <c r="A5" i="1"/>
  <c r="A6" i="1"/>
  <c r="A7" i="1"/>
  <c r="A8" i="1"/>
  <c r="A9" i="1"/>
  <c r="A10" i="1"/>
  <c r="A11" i="1"/>
  <c r="A2" i="1"/>
  <c r="L14" i="3" l="1"/>
  <c r="C18" i="3"/>
  <c r="D18" i="3"/>
  <c r="E18" i="3"/>
  <c r="F18" i="3"/>
  <c r="G18" i="3"/>
  <c r="H18" i="3"/>
  <c r="I18" i="3"/>
  <c r="B18" i="3"/>
  <c r="B18" i="1"/>
  <c r="C18" i="1"/>
  <c r="D18" i="1"/>
  <c r="E18" i="1"/>
  <c r="F18" i="1"/>
  <c r="G18" i="1"/>
  <c r="H18" i="1"/>
  <c r="I18" i="1"/>
  <c r="J18" i="1"/>
  <c r="L10" i="1" l="1"/>
  <c r="K9" i="3"/>
  <c r="K10" i="3"/>
  <c r="L11" i="1"/>
  <c r="K11" i="3"/>
  <c r="L9" i="1"/>
  <c r="K2" i="3"/>
  <c r="L5" i="1"/>
  <c r="L7" i="1"/>
  <c r="K7" i="3"/>
  <c r="K8" i="3"/>
  <c r="L6" i="1"/>
  <c r="K4" i="3"/>
  <c r="K6" i="3"/>
  <c r="K5" i="3"/>
  <c r="L3" i="1"/>
  <c r="L8" i="1"/>
  <c r="L4" i="1"/>
  <c r="K3" i="3"/>
  <c r="L2" i="1"/>
  <c r="K14" i="3" l="1"/>
  <c r="L14" i="1"/>
  <c r="L18" i="1"/>
  <c r="L18" i="3"/>
  <c r="K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815251-4015-4384-9560-364E40192C3A}" keepAlive="1" name="Query - T-All_K1 N10 P80" description="Connection to the 'T-All_K1 N10 P80' query in the workbook." type="5" refreshedVersion="8" background="1" saveData="1">
    <dbPr connection="Provider=Microsoft.Mashup.OleDb.1;Data Source=$Workbook$;Location=&quot;T-All_K1 N10 P80&quot;;Extended Properties=&quot;&quot;" command="SELECT * FROM [T-All_K1 N10 P80]"/>
  </connection>
</connections>
</file>

<file path=xl/sharedStrings.xml><?xml version="1.0" encoding="utf-8"?>
<sst xmlns="http://schemas.openxmlformats.org/spreadsheetml/2006/main" count="50" uniqueCount="39">
  <si>
    <t>Identifier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</si>
  <si>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</si>
  <si>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</si>
  <si>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</si>
  <si>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</si>
  <si>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</si>
  <si>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</si>
  <si>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</si>
  <si>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</si>
  <si>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</si>
  <si>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</si>
  <si>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</si>
  <si>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 Squared</t>
  </si>
  <si>
    <t>Ave RSQ</t>
  </si>
  <si>
    <t>RSQ of Ave</t>
  </si>
  <si>
    <t>T Averages</t>
  </si>
  <si>
    <t>ID</t>
  </si>
  <si>
    <t>0-1</t>
  </si>
  <si>
    <t>1-2</t>
  </si>
  <si>
    <t>2-3</t>
  </si>
  <si>
    <t>3-4</t>
  </si>
  <si>
    <t>4-5</t>
  </si>
  <si>
    <t>5-6</t>
  </si>
  <si>
    <t>6-7</t>
  </si>
  <si>
    <t>7-8</t>
  </si>
  <si>
    <t>Average</t>
  </si>
  <si>
    <t>Max-Min</t>
  </si>
  <si>
    <t>Average per Timestep</t>
  </si>
  <si>
    <t>Average per ID</t>
  </si>
  <si>
    <t>c6f542369f2218ad7789150add0982d8f9407216e75a1cc27578ce86455dd941</t>
  </si>
  <si>
    <t>f347a93b84f6bcad57b129bd7eda055a2ce31ec0f32e49d690f1dc8f1f16ee44</t>
  </si>
  <si>
    <t>2063332238ee02453eedbde198c371284e9f7a3e8b14c9fa7f769a97dcb5f7a0</t>
  </si>
  <si>
    <t>713cfb3130cd441a458ef8c92049aefa36b78e6eeb9293a606c84669bb7b9d79</t>
  </si>
  <si>
    <t>1553a8ee539ec150fa1873f4083b5a91fb0454442c51ad242566b14d68698236</t>
  </si>
  <si>
    <t>06652da5d102bb886c2fa8dd0e019a4b01776be1d616b9f4588050817858a144</t>
  </si>
  <si>
    <t>bfca4d36471a8e984f0373fca5df94fd0d34e4d7198f9241e5ea1f41e2b7be79</t>
  </si>
  <si>
    <t>b63b67a5e75d4731d9d25b06aee6514d0f4fccaa061df42e153ca06d554ae6eb</t>
  </si>
  <si>
    <t>5d1bb13988060fe2834141aa3f282e88cb01b77e2d124ea2903a4f86d04513e3</t>
  </si>
  <si>
    <t>11d8f1ac00bdf7436d03b827674ad62331b1e08df4ac0bf52abe04683b54c11c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</si>
</sst>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CC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469FC1-0BF7-4578-B989-42250B0D7DE4}" autoFormatId="16" applyNumberFormats="0" applyBorderFormats="0" applyFontFormats="0" applyPatternFormats="0" applyAlignmentFormats="0" applyWidthHeightFormats="0">
  <queryTableRefresh nextId="13">
    <queryTableFields count="12">
      <queryTableField id="1" name="Identifier" tableColumnId="1"/>
      <queryTableField id="2" name="0" tableColumnId="2"/>
      <queryTableField id="3" name="1" tableColumnId="3"/>
      <queryTableField id="4" name="2" tableColumnId="4"/>
      <queryTableField id="5" name="3" tableColumnId="5"/>
      <queryTableField id="6" name="4" tableColumnId="6"/>
      <queryTableField id="7" name="5" tableColumnId="7"/>
      <queryTableField id="8" name="6" tableColumnId="8"/>
      <queryTableField id="9" name="7" tableColumnId="9"/>
      <queryTableField id="10" name="8" tableColumnId="10"/>
      <queryTableField id="11" name="9" tableColumnId="11"/>
      <queryTableField id="12" name="1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1C0EC6-E6DC-4FE8-9755-F30121D15ED6}" name="T_All_K1_N10_P80" displayName="T_All_K1_N10_P80" ref="A1:L11" tableType="queryTable" totalsRowShown="0">
  <autoFilter ref="A1:L11" xr:uid="{161C0EC6-E6DC-4FE8-9755-F30121D15ED6}"/>
  <tableColumns count="12">
    <tableColumn id="1" xr3:uid="{EE13007B-40A5-46BC-9DA8-9489D8E7F6C0}" uniqueName="1" name="Identifier" queryTableFieldId="1" dataDxfId="0"/>
    <tableColumn id="2" xr3:uid="{D8368F3C-2376-46ED-888A-298C579C6CDF}" uniqueName="2" name="0" queryTableFieldId="2"/>
    <tableColumn id="3" xr3:uid="{E216FAD1-58D1-489E-BDE2-75519980C318}" uniqueName="3" name="1" queryTableFieldId="3"/>
    <tableColumn id="4" xr3:uid="{3D66F2A4-E44B-4852-BE8E-356307809749}" uniqueName="4" name="2" queryTableFieldId="4"/>
    <tableColumn id="5" xr3:uid="{D6BF2868-1BE1-4A32-97CA-BC0FDC3DEB1A}" uniqueName="5" name="3" queryTableFieldId="5"/>
    <tableColumn id="6" xr3:uid="{75A69D0F-3894-439D-9C96-561EB355C8AD}" uniqueName="6" name="4" queryTableFieldId="6"/>
    <tableColumn id="7" xr3:uid="{2823A051-6B5E-4E16-A395-75B65128B75D}" uniqueName="7" name="5" queryTableFieldId="7"/>
    <tableColumn id="8" xr3:uid="{31CACDCC-1B3B-49A2-B8C4-B82CBE85C93F}" uniqueName="8" name="6" queryTableFieldId="8"/>
    <tableColumn id="9" xr3:uid="{17D9E1C4-D720-4C6F-9670-5CBF79C17F37}" uniqueName="9" name="7" queryTableFieldId="9"/>
    <tableColumn id="10" xr3:uid="{9C1FAC66-F5D4-4FF8-8A29-22E3971B9461}" uniqueName="10" name="8" queryTableFieldId="10"/>
    <tableColumn id="11" xr3:uid="{10DACF28-0D25-4033-B556-9F17B1B710DC}" uniqueName="11" name="9" queryTableFieldId="11"/>
    <tableColumn id="12" xr3:uid="{79C95230-82E7-4EE7-8D74-A65718B4E40B}" uniqueName="12" name="10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D087-7550-4A38-9AE5-7586AFE0538F}">
  <dimension ref="A1:L11"/>
  <sheetViews>
    <sheetView workbookViewId="0">
      <selection activeCell="A25" sqref="A25"/>
    </sheetView>
  </sheetViews>
  <sheetFormatPr defaultRowHeight="15" x14ac:dyDescent="0.25"/>
  <cols>
    <col min="1" max="1" width="68.140625" bestFit="1" customWidth="1"/>
    <col min="2" max="10" width="12" bestFit="1" customWidth="1"/>
    <col min="11" max="11" width="4.28515625" bestFit="1" customWidth="1"/>
    <col min="12" max="12" width="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8" t="s">
        <v>29</v>
      </c>
      <c r="B2">
        <v>8.229799315277937</v>
      </c>
      <c r="C2">
        <v>8.5981141128087248</v>
      </c>
      <c r="D2">
        <v>10.383619546857989</v>
      </c>
      <c r="E2">
        <v>6.3402417886502374</v>
      </c>
      <c r="F2">
        <v>6.7662912453130151</v>
      </c>
      <c r="G2">
        <v>11.176482063708162</v>
      </c>
      <c r="H2">
        <v>17.868647708474032</v>
      </c>
      <c r="I2">
        <v>10.907645316417165</v>
      </c>
      <c r="J2">
        <v>16.425495397118059</v>
      </c>
    </row>
    <row r="3" spans="1:12" x14ac:dyDescent="0.25">
      <c r="A3" s="8" t="s">
        <v>30</v>
      </c>
      <c r="B3">
        <v>7.3669309662994298</v>
      </c>
      <c r="C3">
        <v>5.0828992619835347</v>
      </c>
      <c r="D3">
        <v>3.6599489899781101</v>
      </c>
      <c r="E3">
        <v>4.4786290716915964</v>
      </c>
      <c r="F3">
        <v>7.4518558026145412</v>
      </c>
      <c r="G3">
        <v>9.1560479661358229</v>
      </c>
      <c r="H3">
        <v>16.597027109782125</v>
      </c>
      <c r="I3">
        <v>10.493177180097202</v>
      </c>
      <c r="J3">
        <v>7.9802843151403735</v>
      </c>
    </row>
    <row r="4" spans="1:12" x14ac:dyDescent="0.25">
      <c r="A4" s="8" t="s">
        <v>31</v>
      </c>
      <c r="B4">
        <v>2.9411003194082865</v>
      </c>
      <c r="C4">
        <v>6.4009918866285718</v>
      </c>
      <c r="D4">
        <v>5.0272812090110044</v>
      </c>
      <c r="E4">
        <v>5.800282544655655</v>
      </c>
      <c r="F4">
        <v>4.5264984688550705</v>
      </c>
      <c r="G4">
        <v>4.184760430021</v>
      </c>
      <c r="H4">
        <v>6.2275839413208942</v>
      </c>
      <c r="I4">
        <v>8.4168223693862689</v>
      </c>
      <c r="J4">
        <v>7.9864642972833177</v>
      </c>
    </row>
    <row r="5" spans="1:12" x14ac:dyDescent="0.25">
      <c r="A5" s="8" t="s">
        <v>32</v>
      </c>
      <c r="B5">
        <v>6.5980927594001422</v>
      </c>
      <c r="C5">
        <v>10.49988706366597</v>
      </c>
      <c r="D5">
        <v>7.2204126314671306</v>
      </c>
      <c r="E5">
        <v>4.3600717494254955</v>
      </c>
      <c r="F5">
        <v>10.262655792592268</v>
      </c>
      <c r="G5">
        <v>18.205818302596587</v>
      </c>
      <c r="H5">
        <v>11.646122403659581</v>
      </c>
      <c r="I5">
        <v>22.920261663778607</v>
      </c>
      <c r="J5">
        <v>14.434617052331319</v>
      </c>
    </row>
    <row r="6" spans="1:12" x14ac:dyDescent="0.25">
      <c r="A6" s="8" t="s">
        <v>33</v>
      </c>
      <c r="B6">
        <v>11.568342271764354</v>
      </c>
      <c r="C6">
        <v>10.672521983435884</v>
      </c>
      <c r="D6">
        <v>9.5573983771263649</v>
      </c>
      <c r="E6">
        <v>9.3727696957869</v>
      </c>
      <c r="F6">
        <v>14.931186976656502</v>
      </c>
      <c r="G6">
        <v>8.2518350003824281</v>
      </c>
      <c r="H6">
        <v>9.321451572221644</v>
      </c>
      <c r="I6">
        <v>15.08045577140477</v>
      </c>
      <c r="J6">
        <v>16.221294231913951</v>
      </c>
    </row>
    <row r="7" spans="1:12" x14ac:dyDescent="0.25">
      <c r="A7" s="8" t="s">
        <v>34</v>
      </c>
      <c r="B7">
        <v>5.9423069576274417</v>
      </c>
      <c r="C7">
        <v>1.8441418921051582</v>
      </c>
      <c r="D7">
        <v>7.5824509030302965</v>
      </c>
      <c r="E7">
        <v>4.4170880029132515</v>
      </c>
      <c r="F7">
        <v>10.551930614876262</v>
      </c>
      <c r="G7">
        <v>6.6498610948273065</v>
      </c>
      <c r="H7">
        <v>10.370655764481116</v>
      </c>
      <c r="I7">
        <v>10.687049656462882</v>
      </c>
      <c r="J7">
        <v>14.0633529465153</v>
      </c>
    </row>
    <row r="8" spans="1:12" x14ac:dyDescent="0.25">
      <c r="A8" s="8" t="s">
        <v>35</v>
      </c>
      <c r="B8">
        <v>5.8960509930504292</v>
      </c>
      <c r="C8">
        <v>6.9224265838478285</v>
      </c>
      <c r="D8">
        <v>5.8162096783105781</v>
      </c>
      <c r="E8">
        <v>9.8001097898137957</v>
      </c>
      <c r="F8">
        <v>6.1588199463007616</v>
      </c>
      <c r="G8">
        <v>8.5018018123856205</v>
      </c>
      <c r="H8">
        <v>7.4946262334681117</v>
      </c>
      <c r="I8">
        <v>11.610084344453945</v>
      </c>
      <c r="J8">
        <v>13.615429316380444</v>
      </c>
    </row>
    <row r="9" spans="1:12" x14ac:dyDescent="0.25">
      <c r="A9" s="8" t="s">
        <v>36</v>
      </c>
      <c r="B9">
        <v>8.7360278434736873</v>
      </c>
      <c r="C9">
        <v>7.5407706104340253</v>
      </c>
      <c r="D9">
        <v>8.8605865850496919</v>
      </c>
      <c r="E9">
        <v>14.735684884518735</v>
      </c>
      <c r="F9">
        <v>11.220220853983538</v>
      </c>
      <c r="G9">
        <v>18.737495349795459</v>
      </c>
      <c r="H9">
        <v>16.22038362183887</v>
      </c>
      <c r="I9">
        <v>8.5595728647457801</v>
      </c>
      <c r="J9">
        <v>9.1982231917023451</v>
      </c>
    </row>
    <row r="10" spans="1:12" x14ac:dyDescent="0.25">
      <c r="A10" s="8" t="s">
        <v>37</v>
      </c>
      <c r="B10">
        <v>2.9575796107823367</v>
      </c>
      <c r="C10">
        <v>0.74208174738130761</v>
      </c>
      <c r="D10">
        <v>2.6499194188402497</v>
      </c>
      <c r="E10">
        <v>5.9436815725115242</v>
      </c>
      <c r="F10">
        <v>3.3971049591447309</v>
      </c>
      <c r="G10">
        <v>3.4921239809863986</v>
      </c>
      <c r="H10">
        <v>3.4443046780150972</v>
      </c>
      <c r="I10">
        <v>1.4573611485737317</v>
      </c>
      <c r="J10">
        <v>7.1082287254846435</v>
      </c>
    </row>
    <row r="11" spans="1:12" x14ac:dyDescent="0.25">
      <c r="A11" s="8" t="s">
        <v>38</v>
      </c>
      <c r="B11">
        <v>7.5354358923210416</v>
      </c>
      <c r="C11">
        <v>10.345771149991817</v>
      </c>
      <c r="D11">
        <v>14.06066104815709</v>
      </c>
      <c r="E11">
        <v>13.62094256301134</v>
      </c>
      <c r="F11">
        <v>14.192866580328227</v>
      </c>
      <c r="G11">
        <v>12.110154445586392</v>
      </c>
      <c r="H11">
        <v>12.717493317356903</v>
      </c>
      <c r="I11">
        <v>19.966027549765101</v>
      </c>
      <c r="J11">
        <v>14.157503998602529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A63F-D7AF-43CF-B6E6-E01A84121C52}">
  <dimension ref="A1:L18"/>
  <sheetViews>
    <sheetView zoomScale="130" zoomScaleNormal="130" workbookViewId="0">
      <selection activeCell="M9" sqref="M9"/>
    </sheetView>
  </sheetViews>
  <sheetFormatPr defaultRowHeight="15" x14ac:dyDescent="0.25"/>
  <cols>
    <col min="1" max="1" width="20.42578125" customWidth="1"/>
  </cols>
  <sheetData>
    <row r="1" spans="1:12" x14ac:dyDescent="0.25">
      <c r="A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L1" s="2" t="s">
        <v>12</v>
      </c>
    </row>
    <row r="2" spans="1:12" x14ac:dyDescent="0.25">
      <c r="A2" t="str">
        <f>T_All_K1_N10_P80[[#This Row],[Identifier]]</f>
        <v>c6f542369f2218ad7789150add0982d8f9407216e75a1cc27578ce86455dd941</v>
      </c>
      <c r="B2">
        <f>T_All_K1_N10_P80[[#This Row],[0]]</f>
        <v>8.229799315277937</v>
      </c>
      <c r="C2">
        <f>T_All_K1_N10_P80[[#This Row],[1]]</f>
        <v>8.5981141128087248</v>
      </c>
      <c r="D2">
        <f>T_All_K1_N10_P80[[#This Row],[2]]</f>
        <v>10.383619546857989</v>
      </c>
      <c r="E2">
        <f>T_All_K1_N10_P80[[#This Row],[3]]</f>
        <v>6.3402417886502374</v>
      </c>
      <c r="F2">
        <f>T_All_K1_N10_P80[[#This Row],[4]]</f>
        <v>6.7662912453130151</v>
      </c>
      <c r="G2">
        <f>T_All_K1_N10_P80[[#This Row],[5]]</f>
        <v>11.176482063708162</v>
      </c>
      <c r="H2">
        <f>T_All_K1_N10_P80[[#This Row],[6]]</f>
        <v>17.868647708474032</v>
      </c>
      <c r="I2">
        <f>T_All_K1_N10_P80[[#This Row],[7]]</f>
        <v>10.907645316417165</v>
      </c>
      <c r="J2">
        <f>T_All_K1_N10_P80[[#This Row],[8]]</f>
        <v>16.425495397118059</v>
      </c>
      <c r="L2" s="3">
        <f t="shared" ref="L2:L11" si="0">RSQ(B2:J2,$B$1:$J$1)</f>
        <v>0.45581345805966572</v>
      </c>
    </row>
    <row r="3" spans="1:12" x14ac:dyDescent="0.25">
      <c r="A3" t="str">
        <f>T_All_K1_N10_P80[[#This Row],[Identifier]]</f>
        <v>f347a93b84f6bcad57b129bd7eda055a2ce31ec0f32e49d690f1dc8f1f16ee44</v>
      </c>
      <c r="B3">
        <f>T_All_K1_N10_P80[[#This Row],[0]]</f>
        <v>7.3669309662994298</v>
      </c>
      <c r="C3">
        <f>T_All_K1_N10_P80[[#This Row],[1]]</f>
        <v>5.0828992619835347</v>
      </c>
      <c r="D3">
        <f>T_All_K1_N10_P80[[#This Row],[2]]</f>
        <v>3.6599489899781101</v>
      </c>
      <c r="E3">
        <f>T_All_K1_N10_P80[[#This Row],[3]]</f>
        <v>4.4786290716915964</v>
      </c>
      <c r="F3">
        <f>T_All_K1_N10_P80[[#This Row],[4]]</f>
        <v>7.4518558026145412</v>
      </c>
      <c r="G3">
        <f>T_All_K1_N10_P80[[#This Row],[5]]</f>
        <v>9.1560479661358229</v>
      </c>
      <c r="H3">
        <f>T_All_K1_N10_P80[[#This Row],[6]]</f>
        <v>16.597027109782125</v>
      </c>
      <c r="I3">
        <f>T_All_K1_N10_P80[[#This Row],[7]]</f>
        <v>10.493177180097202</v>
      </c>
      <c r="J3">
        <f>T_All_K1_N10_P80[[#This Row],[8]]</f>
        <v>7.9802843151403735</v>
      </c>
      <c r="L3" s="3">
        <f t="shared" si="0"/>
        <v>0.33144043675780571</v>
      </c>
    </row>
    <row r="4" spans="1:12" x14ac:dyDescent="0.25">
      <c r="A4" t="str">
        <f>T_All_K1_N10_P80[[#This Row],[Identifier]]</f>
        <v>2063332238ee02453eedbde198c371284e9f7a3e8b14c9fa7f769a97dcb5f7a0</v>
      </c>
      <c r="B4">
        <f>T_All_K1_N10_P80[[#This Row],[0]]</f>
        <v>2.9411003194082865</v>
      </c>
      <c r="C4">
        <f>T_All_K1_N10_P80[[#This Row],[1]]</f>
        <v>6.4009918866285718</v>
      </c>
      <c r="D4">
        <f>T_All_K1_N10_P80[[#This Row],[2]]</f>
        <v>5.0272812090110044</v>
      </c>
      <c r="E4">
        <f>T_All_K1_N10_P80[[#This Row],[3]]</f>
        <v>5.800282544655655</v>
      </c>
      <c r="F4">
        <f>T_All_K1_N10_P80[[#This Row],[4]]</f>
        <v>4.5264984688550705</v>
      </c>
      <c r="G4">
        <f>T_All_K1_N10_P80[[#This Row],[5]]</f>
        <v>4.184760430021</v>
      </c>
      <c r="H4">
        <f>T_All_K1_N10_P80[[#This Row],[6]]</f>
        <v>6.2275839413208942</v>
      </c>
      <c r="I4">
        <f>T_All_K1_N10_P80[[#This Row],[7]]</f>
        <v>8.4168223693862689</v>
      </c>
      <c r="J4">
        <f>T_All_K1_N10_P80[[#This Row],[8]]</f>
        <v>7.9864642972833177</v>
      </c>
      <c r="L4" s="3">
        <f t="shared" si="0"/>
        <v>0.48416218348433226</v>
      </c>
    </row>
    <row r="5" spans="1:12" x14ac:dyDescent="0.25">
      <c r="A5" t="str">
        <f>T_All_K1_N10_P80[[#This Row],[Identifier]]</f>
        <v>713cfb3130cd441a458ef8c92049aefa36b78e6eeb9293a606c84669bb7b9d79</v>
      </c>
      <c r="B5">
        <f>T_All_K1_N10_P80[[#This Row],[0]]</f>
        <v>6.5980927594001422</v>
      </c>
      <c r="C5">
        <f>T_All_K1_N10_P80[[#This Row],[1]]</f>
        <v>10.49988706366597</v>
      </c>
      <c r="D5">
        <f>T_All_K1_N10_P80[[#This Row],[2]]</f>
        <v>7.2204126314671306</v>
      </c>
      <c r="E5">
        <f>T_All_K1_N10_P80[[#This Row],[3]]</f>
        <v>4.3600717494254955</v>
      </c>
      <c r="F5">
        <f>T_All_K1_N10_P80[[#This Row],[4]]</f>
        <v>10.262655792592268</v>
      </c>
      <c r="G5">
        <f>T_All_K1_N10_P80[[#This Row],[5]]</f>
        <v>18.205818302596587</v>
      </c>
      <c r="H5">
        <f>T_All_K1_N10_P80[[#This Row],[6]]</f>
        <v>11.646122403659581</v>
      </c>
      <c r="I5">
        <f>T_All_K1_N10_P80[[#This Row],[7]]</f>
        <v>22.920261663778607</v>
      </c>
      <c r="J5">
        <f>T_All_K1_N10_P80[[#This Row],[8]]</f>
        <v>14.434617052331319</v>
      </c>
      <c r="L5" s="3">
        <f t="shared" si="0"/>
        <v>0.49782336722909465</v>
      </c>
    </row>
    <row r="6" spans="1:12" x14ac:dyDescent="0.25">
      <c r="A6" t="str">
        <f>T_All_K1_N10_P80[[#This Row],[Identifier]]</f>
        <v>1553a8ee539ec150fa1873f4083b5a91fb0454442c51ad242566b14d68698236</v>
      </c>
      <c r="B6">
        <f>T_All_K1_N10_P80[[#This Row],[0]]</f>
        <v>11.568342271764354</v>
      </c>
      <c r="C6">
        <f>T_All_K1_N10_P80[[#This Row],[1]]</f>
        <v>10.672521983435884</v>
      </c>
      <c r="D6">
        <f>T_All_K1_N10_P80[[#This Row],[2]]</f>
        <v>9.5573983771263649</v>
      </c>
      <c r="E6">
        <f>T_All_K1_N10_P80[[#This Row],[3]]</f>
        <v>9.3727696957869</v>
      </c>
      <c r="F6">
        <f>T_All_K1_N10_P80[[#This Row],[4]]</f>
        <v>14.931186976656502</v>
      </c>
      <c r="G6">
        <f>T_All_K1_N10_P80[[#This Row],[5]]</f>
        <v>8.2518350003824281</v>
      </c>
      <c r="H6">
        <f>T_All_K1_N10_P80[[#This Row],[6]]</f>
        <v>9.321451572221644</v>
      </c>
      <c r="I6">
        <f>T_All_K1_N10_P80[[#This Row],[7]]</f>
        <v>15.08045577140477</v>
      </c>
      <c r="J6">
        <f>T_All_K1_N10_P80[[#This Row],[8]]</f>
        <v>16.221294231913951</v>
      </c>
      <c r="L6" s="3">
        <f t="shared" si="0"/>
        <v>0.21492580590246618</v>
      </c>
    </row>
    <row r="7" spans="1:12" x14ac:dyDescent="0.25">
      <c r="A7" t="str">
        <f>T_All_K1_N10_P80[[#This Row],[Identifier]]</f>
        <v>06652da5d102bb886c2fa8dd0e019a4b01776be1d616b9f4588050817858a144</v>
      </c>
      <c r="B7">
        <f>T_All_K1_N10_P80[[#This Row],[0]]</f>
        <v>5.9423069576274417</v>
      </c>
      <c r="C7">
        <f>T_All_K1_N10_P80[[#This Row],[1]]</f>
        <v>1.8441418921051582</v>
      </c>
      <c r="D7">
        <f>T_All_K1_N10_P80[[#This Row],[2]]</f>
        <v>7.5824509030302965</v>
      </c>
      <c r="E7">
        <f>T_All_K1_N10_P80[[#This Row],[3]]</f>
        <v>4.4170880029132515</v>
      </c>
      <c r="F7">
        <f>T_All_K1_N10_P80[[#This Row],[4]]</f>
        <v>10.551930614876262</v>
      </c>
      <c r="G7">
        <f>T_All_K1_N10_P80[[#This Row],[5]]</f>
        <v>6.6498610948273065</v>
      </c>
      <c r="H7">
        <f>T_All_K1_N10_P80[[#This Row],[6]]</f>
        <v>10.370655764481116</v>
      </c>
      <c r="I7">
        <f>T_All_K1_N10_P80[[#This Row],[7]]</f>
        <v>10.687049656462882</v>
      </c>
      <c r="J7">
        <f>T_All_K1_N10_P80[[#This Row],[8]]</f>
        <v>14.0633529465153</v>
      </c>
      <c r="L7" s="3">
        <f t="shared" si="0"/>
        <v>0.65812450590028715</v>
      </c>
    </row>
    <row r="8" spans="1:12" x14ac:dyDescent="0.25">
      <c r="A8" t="str">
        <f>T_All_K1_N10_P80[[#This Row],[Identifier]]</f>
        <v>bfca4d36471a8e984f0373fca5df94fd0d34e4d7198f9241e5ea1f41e2b7be79</v>
      </c>
      <c r="B8">
        <f>T_All_K1_N10_P80[[#This Row],[0]]</f>
        <v>5.8960509930504292</v>
      </c>
      <c r="C8">
        <f>T_All_K1_N10_P80[[#This Row],[1]]</f>
        <v>6.9224265838478285</v>
      </c>
      <c r="D8">
        <f>T_All_K1_N10_P80[[#This Row],[2]]</f>
        <v>5.8162096783105781</v>
      </c>
      <c r="E8">
        <f>T_All_K1_N10_P80[[#This Row],[3]]</f>
        <v>9.8001097898137957</v>
      </c>
      <c r="F8">
        <f>T_All_K1_N10_P80[[#This Row],[4]]</f>
        <v>6.1588199463007616</v>
      </c>
      <c r="G8">
        <f>T_All_K1_N10_P80[[#This Row],[5]]</f>
        <v>8.5018018123856205</v>
      </c>
      <c r="H8">
        <f>T_All_K1_N10_P80[[#This Row],[6]]</f>
        <v>7.4946262334681117</v>
      </c>
      <c r="I8">
        <f>T_All_K1_N10_P80[[#This Row],[7]]</f>
        <v>11.610084344453945</v>
      </c>
      <c r="J8">
        <f>T_All_K1_N10_P80[[#This Row],[8]]</f>
        <v>13.615429316380444</v>
      </c>
      <c r="L8" s="3">
        <f t="shared" si="0"/>
        <v>0.6090942652226653</v>
      </c>
    </row>
    <row r="9" spans="1:12" x14ac:dyDescent="0.25">
      <c r="A9" t="str">
        <f>T_All_K1_N10_P80[[#This Row],[Identifier]]</f>
        <v>b63b67a5e75d4731d9d25b06aee6514d0f4fccaa061df42e153ca06d554ae6eb</v>
      </c>
      <c r="B9">
        <f>T_All_K1_N10_P80[[#This Row],[0]]</f>
        <v>8.7360278434736873</v>
      </c>
      <c r="C9">
        <f>T_All_K1_N10_P80[[#This Row],[1]]</f>
        <v>7.5407706104340253</v>
      </c>
      <c r="D9">
        <f>T_All_K1_N10_P80[[#This Row],[2]]</f>
        <v>8.8605865850496919</v>
      </c>
      <c r="E9">
        <f>T_All_K1_N10_P80[[#This Row],[3]]</f>
        <v>14.735684884518735</v>
      </c>
      <c r="F9">
        <f>T_All_K1_N10_P80[[#This Row],[4]]</f>
        <v>11.220220853983538</v>
      </c>
      <c r="G9">
        <f>T_All_K1_N10_P80[[#This Row],[5]]</f>
        <v>18.737495349795459</v>
      </c>
      <c r="H9">
        <f>T_All_K1_N10_P80[[#This Row],[6]]</f>
        <v>16.22038362183887</v>
      </c>
      <c r="I9">
        <f>T_All_K1_N10_P80[[#This Row],[7]]</f>
        <v>8.5595728647457801</v>
      </c>
      <c r="J9">
        <f>T_All_K1_N10_P80[[#This Row],[8]]</f>
        <v>9.1982231917023451</v>
      </c>
      <c r="L9" s="3">
        <f t="shared" si="0"/>
        <v>7.1883244678403055E-2</v>
      </c>
    </row>
    <row r="10" spans="1:12" x14ac:dyDescent="0.25">
      <c r="A10" t="str">
        <f>T_All_K1_N10_P80[[#This Row],[Identifier]]</f>
        <v>5d1bb13988060fe2834141aa3f282e88cb01b77e2d124ea2903a4f86d04513e3</v>
      </c>
      <c r="B10">
        <f>T_All_K1_N10_P80[[#This Row],[0]]</f>
        <v>2.9575796107823367</v>
      </c>
      <c r="C10">
        <f>T_All_K1_N10_P80[[#This Row],[1]]</f>
        <v>0.74208174738130761</v>
      </c>
      <c r="D10">
        <f>T_All_K1_N10_P80[[#This Row],[2]]</f>
        <v>2.6499194188402497</v>
      </c>
      <c r="E10">
        <f>T_All_K1_N10_P80[[#This Row],[3]]</f>
        <v>5.9436815725115242</v>
      </c>
      <c r="F10">
        <f>T_All_K1_N10_P80[[#This Row],[4]]</f>
        <v>3.3971049591447309</v>
      </c>
      <c r="G10">
        <f>T_All_K1_N10_P80[[#This Row],[5]]</f>
        <v>3.4921239809863986</v>
      </c>
      <c r="H10">
        <f>T_All_K1_N10_P80[[#This Row],[6]]</f>
        <v>3.4443046780150972</v>
      </c>
      <c r="I10">
        <f>T_All_K1_N10_P80[[#This Row],[7]]</f>
        <v>1.4573611485737317</v>
      </c>
      <c r="J10">
        <f>T_All_K1_N10_P80[[#This Row],[8]]</f>
        <v>7.1082287254846435</v>
      </c>
      <c r="L10" s="3">
        <f t="shared" si="0"/>
        <v>0.16771609172196222</v>
      </c>
    </row>
    <row r="11" spans="1:12" x14ac:dyDescent="0.25">
      <c r="A11" t="str">
        <f>T_All_K1_N10_P80[[#This Row],[Identifier]]</f>
        <v>11d8f1ac00bdf7436d03b827674ad62331b1e08df4ac0bf52abe04683b54c11c</v>
      </c>
      <c r="B11">
        <f>T_All_K1_N10_P80[[#This Row],[0]]</f>
        <v>7.5354358923210416</v>
      </c>
      <c r="C11">
        <f>T_All_K1_N10_P80[[#This Row],[1]]</f>
        <v>10.345771149991817</v>
      </c>
      <c r="D11">
        <f>T_All_K1_N10_P80[[#This Row],[2]]</f>
        <v>14.06066104815709</v>
      </c>
      <c r="E11">
        <f>T_All_K1_N10_P80[[#This Row],[3]]</f>
        <v>13.62094256301134</v>
      </c>
      <c r="F11">
        <f>T_All_K1_N10_P80[[#This Row],[4]]</f>
        <v>14.192866580328227</v>
      </c>
      <c r="G11">
        <f>T_All_K1_N10_P80[[#This Row],[5]]</f>
        <v>12.110154445586392</v>
      </c>
      <c r="H11">
        <f>T_All_K1_N10_P80[[#This Row],[6]]</f>
        <v>12.717493317356903</v>
      </c>
      <c r="I11">
        <f>T_All_K1_N10_P80[[#This Row],[7]]</f>
        <v>19.966027549765101</v>
      </c>
      <c r="J11">
        <f>T_All_K1_N10_P80[[#This Row],[8]]</f>
        <v>14.157503998602529</v>
      </c>
      <c r="L11" s="3">
        <f t="shared" si="0"/>
        <v>0.48318127306273623</v>
      </c>
    </row>
    <row r="14" spans="1:12" x14ac:dyDescent="0.25">
      <c r="K14" s="2" t="s">
        <v>13</v>
      </c>
      <c r="L14" s="3">
        <f>AVERAGE(L2:L11)</f>
        <v>0.39741646320194179</v>
      </c>
    </row>
    <row r="15" spans="1:12" x14ac:dyDescent="0.25">
      <c r="L15" s="3"/>
    </row>
    <row r="16" spans="1:12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 t="s">
        <v>14</v>
      </c>
    </row>
    <row r="18" spans="1:12" x14ac:dyDescent="0.25">
      <c r="A18" s="6" t="s">
        <v>15</v>
      </c>
      <c r="B18" s="5">
        <f>AVERAGE(B2:B11)</f>
        <v>6.7771666929405097</v>
      </c>
      <c r="C18" s="5">
        <f t="shared" ref="C18:J18" si="1">AVERAGE(C2:C11)</f>
        <v>6.864960629228281</v>
      </c>
      <c r="D18" s="5">
        <f t="shared" si="1"/>
        <v>7.4818488387828506</v>
      </c>
      <c r="E18" s="5">
        <f t="shared" si="1"/>
        <v>7.8869501662978534</v>
      </c>
      <c r="F18" s="5">
        <f t="shared" si="1"/>
        <v>8.9459431240664919</v>
      </c>
      <c r="G18" s="5">
        <f t="shared" si="1"/>
        <v>10.046638044642517</v>
      </c>
      <c r="H18" s="5">
        <f t="shared" si="1"/>
        <v>11.190829635061839</v>
      </c>
      <c r="I18" s="5">
        <f t="shared" si="1"/>
        <v>12.009845786508546</v>
      </c>
      <c r="J18" s="5">
        <f t="shared" si="1"/>
        <v>12.119089347247225</v>
      </c>
      <c r="K18" s="5"/>
      <c r="L18" s="5">
        <f>RSQ(B1:J1,B18:J18)</f>
        <v>0.96559117364421809</v>
      </c>
    </row>
  </sheetData>
  <conditionalFormatting sqref="L1:L1048576">
    <cfRule type="containsBlanks" dxfId="8" priority="1">
      <formula>LEN(TRIM(L1))=0</formula>
    </cfRule>
    <cfRule type="cellIs" dxfId="7" priority="2" operator="between">
      <formula>0</formula>
      <formula>0.1</formula>
    </cfRule>
    <cfRule type="cellIs" dxfId="6" priority="3" operator="greaterThan">
      <formula>0.2</formula>
    </cfRule>
    <cfRule type="cellIs" dxfId="5" priority="4" operator="between">
      <formula>0.1</formula>
      <formula>0.2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3FFE-1256-4A00-AF3F-70013C27B583}">
  <dimension ref="A1:L18"/>
  <sheetViews>
    <sheetView tabSelected="1" zoomScaleNormal="100" workbookViewId="0">
      <selection activeCell="A15" sqref="A15"/>
    </sheetView>
  </sheetViews>
  <sheetFormatPr defaultRowHeight="15" x14ac:dyDescent="0.25"/>
  <cols>
    <col min="1" max="1" width="67.5703125" bestFit="1" customWidth="1"/>
    <col min="2" max="2" width="9.5703125" bestFit="1" customWidth="1"/>
    <col min="11" max="11" width="17.5703125" customWidth="1"/>
  </cols>
  <sheetData>
    <row r="1" spans="1:12" x14ac:dyDescent="0.25">
      <c r="A1" s="2" t="s">
        <v>16</v>
      </c>
      <c r="B1" s="2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K1" s="2" t="s">
        <v>28</v>
      </c>
      <c r="L1" s="2" t="s">
        <v>26</v>
      </c>
    </row>
    <row r="2" spans="1:12" x14ac:dyDescent="0.25">
      <c r="A2" t="str">
        <f>T_All_K1_N10_P80[[#This Row],[Identifier]]</f>
        <v>c6f542369f2218ad7789150add0982d8f9407216e75a1cc27578ce86455dd941</v>
      </c>
      <c r="B2">
        <f>(T_All_K1_N10_P80[[#This Row],[1]]-T_All_K1_N10_P80[[#This Row],[0]])/(ABS(T_All_K1_N10_P80[[#This Row],[0]]))</f>
        <v>4.475380059961391E-2</v>
      </c>
      <c r="C2">
        <f>(T_All_K1_N10_P80[[#This Row],[2]]-T_All_K1_N10_P80[[#This Row],[1]])/(ABS(T_All_K1_N10_P80[[#This Row],[1]]))</f>
        <v>0.20766244907000866</v>
      </c>
      <c r="D2">
        <f>(T_All_K1_N10_P80[[#This Row],[3]]-T_All_K1_N10_P80[[#This Row],[2]])/(ABS(T_All_K1_N10_P80[[#This Row],[2]]))</f>
        <v>-0.38939964431104857</v>
      </c>
      <c r="E2">
        <f>(T_All_K1_N10_P80[[#This Row],[4]]-T_All_K1_N10_P80[[#This Row],[3]])/(ABS(T_All_K1_N10_P80[[#This Row],[3]]))</f>
        <v>6.7197667039363584E-2</v>
      </c>
      <c r="F2">
        <f>(T_All_K1_N10_P80[[#This Row],[5]]-T_All_K1_N10_P80[[#This Row],[4]])/(ABS(T_All_K1_N10_P80[[#This Row],[4]]))</f>
        <v>0.65178849956393325</v>
      </c>
      <c r="G2">
        <f>(T_All_K1_N10_P80[[#This Row],[6]]-T_All_K1_N10_P80[[#This Row],[5]])/(ABS(T_All_K1_N10_P80[[#This Row],[5]]))</f>
        <v>0.59877210079336229</v>
      </c>
      <c r="H2">
        <f>(T_All_K1_N10_P80[[#This Row],[7]]-T_All_K1_N10_P80[[#This Row],[6]])/(ABS(T_All_K1_N10_P80[[#This Row],[6]]))</f>
        <v>-0.38956514816483173</v>
      </c>
      <c r="I2">
        <f>(T_All_K1_N10_P80[[#This Row],[8]]-T_All_K1_N10_P80[[#This Row],[7]])/(ABS(T_All_K1_N10_P80[[#This Row],[7]]))</f>
        <v>0.50586995823891923</v>
      </c>
      <c r="K2">
        <f>AVERAGE(B2:I2)</f>
        <v>0.16213496035366506</v>
      </c>
      <c r="L2">
        <f>(T_All_K1_N10_P80[[#This Row],[8]]-T_All_K1_N10_P80[[#This Row],[0]])/ABS(T_All_K1_N10_P80[[#This Row],[0]])</f>
        <v>0.99585612818352631</v>
      </c>
    </row>
    <row r="3" spans="1:12" x14ac:dyDescent="0.25">
      <c r="A3" t="str">
        <f>T_All_K1_N10_P80[[#This Row],[Identifier]]</f>
        <v>f347a93b84f6bcad57b129bd7eda055a2ce31ec0f32e49d690f1dc8f1f16ee44</v>
      </c>
      <c r="B3">
        <f>(T_All_K1_N10_P80[[#This Row],[1]]-T_All_K1_N10_P80[[#This Row],[0]])/(ABS(T_All_K1_N10_P80[[#This Row],[0]]))</f>
        <v>-0.31003842913207236</v>
      </c>
      <c r="C3">
        <f>(T_All_K1_N10_P80[[#This Row],[2]]-T_All_K1_N10_P80[[#This Row],[1]])/(ABS(T_All_K1_N10_P80[[#This Row],[1]]))</f>
        <v>-0.27994854878358083</v>
      </c>
      <c r="D3">
        <f>(T_All_K1_N10_P80[[#This Row],[3]]-T_All_K1_N10_P80[[#This Row],[2]])/(ABS(T_All_K1_N10_P80[[#This Row],[2]]))</f>
        <v>0.22368619998673334</v>
      </c>
      <c r="E3">
        <f>(T_All_K1_N10_P80[[#This Row],[4]]-T_All_K1_N10_P80[[#This Row],[3]])/(ABS(T_All_K1_N10_P80[[#This Row],[3]]))</f>
        <v>0.66386983233687291</v>
      </c>
      <c r="F3">
        <f>(T_All_K1_N10_P80[[#This Row],[5]]-T_All_K1_N10_P80[[#This Row],[4]])/(ABS(T_All_K1_N10_P80[[#This Row],[4]]))</f>
        <v>0.2286936581520207</v>
      </c>
      <c r="G3">
        <f>(T_All_K1_N10_P80[[#This Row],[6]]-T_All_K1_N10_P80[[#This Row],[5]])/(ABS(T_All_K1_N10_P80[[#This Row],[5]]))</f>
        <v>0.81268459614532351</v>
      </c>
      <c r="H3">
        <f>(T_All_K1_N10_P80[[#This Row],[7]]-T_All_K1_N10_P80[[#This Row],[6]])/(ABS(T_All_K1_N10_P80[[#This Row],[6]]))</f>
        <v>-0.36776766642065517</v>
      </c>
      <c r="I3">
        <f>(T_All_K1_N10_P80[[#This Row],[8]]-T_All_K1_N10_P80[[#This Row],[7]])/(ABS(T_All_K1_N10_P80[[#This Row],[7]]))</f>
        <v>-0.23947874145526921</v>
      </c>
      <c r="K3">
        <f t="shared" ref="K3:K10" si="0">AVERAGE(B3:I3)</f>
        <v>9.1462612603671611E-2</v>
      </c>
      <c r="L3">
        <f>(T_All_K1_N10_P80[[#This Row],[8]]-T_All_K1_N10_P80[[#This Row],[0]])/ABS(T_All_K1_N10_P80[[#This Row],[0]])</f>
        <v>8.3257648489822145E-2</v>
      </c>
    </row>
    <row r="4" spans="1:12" x14ac:dyDescent="0.25">
      <c r="A4" t="str">
        <f>T_All_K1_N10_P80[[#This Row],[Identifier]]</f>
        <v>2063332238ee02453eedbde198c371284e9f7a3e8b14c9fa7f769a97dcb5f7a0</v>
      </c>
      <c r="B4">
        <f>(T_All_K1_N10_P80[[#This Row],[1]]-T_All_K1_N10_P80[[#This Row],[0]])/(ABS(T_All_K1_N10_P80[[#This Row],[0]]))</f>
        <v>1.1763935913333188</v>
      </c>
      <c r="C4">
        <f>(T_All_K1_N10_P80[[#This Row],[2]]-T_All_K1_N10_P80[[#This Row],[1]])/(ABS(T_All_K1_N10_P80[[#This Row],[1]]))</f>
        <v>-0.21460903277930982</v>
      </c>
      <c r="D4">
        <f>(T_All_K1_N10_P80[[#This Row],[3]]-T_All_K1_N10_P80[[#This Row],[2]])/(ABS(T_All_K1_N10_P80[[#This Row],[2]]))</f>
        <v>0.15376130825128834</v>
      </c>
      <c r="E4">
        <f>(T_All_K1_N10_P80[[#This Row],[4]]-T_All_K1_N10_P80[[#This Row],[3]])/(ABS(T_All_K1_N10_P80[[#This Row],[3]]))</f>
        <v>-0.21960724602532361</v>
      </c>
      <c r="F4">
        <f>(T_All_K1_N10_P80[[#This Row],[5]]-T_All_K1_N10_P80[[#This Row],[4]])/(ABS(T_All_K1_N10_P80[[#This Row],[4]]))</f>
        <v>-7.5497217371313832E-2</v>
      </c>
      <c r="G4">
        <f>(T_All_K1_N10_P80[[#This Row],[6]]-T_All_K1_N10_P80[[#This Row],[5]])/(ABS(T_All_K1_N10_P80[[#This Row],[5]]))</f>
        <v>0.48815781583215817</v>
      </c>
      <c r="H4">
        <f>(T_All_K1_N10_P80[[#This Row],[7]]-T_All_K1_N10_P80[[#This Row],[6]])/(ABS(T_All_K1_N10_P80[[#This Row],[6]]))</f>
        <v>0.35153896738982032</v>
      </c>
      <c r="I4">
        <f>(T_All_K1_N10_P80[[#This Row],[8]]-T_All_K1_N10_P80[[#This Row],[7]])/(ABS(T_All_K1_N10_P80[[#This Row],[7]]))</f>
        <v>-5.1130706247081187E-2</v>
      </c>
      <c r="K4">
        <f t="shared" si="0"/>
        <v>0.20112593504794465</v>
      </c>
      <c r="L4">
        <f>(T_All_K1_N10_P80[[#This Row],[8]]-T_All_K1_N10_P80[[#This Row],[0]])/ABS(T_All_K1_N10_P80[[#This Row],[0]])</f>
        <v>1.7154681683520732</v>
      </c>
    </row>
    <row r="5" spans="1:12" x14ac:dyDescent="0.25">
      <c r="A5" t="str">
        <f>T_All_K1_N10_P80[[#This Row],[Identifier]]</f>
        <v>713cfb3130cd441a458ef8c92049aefa36b78e6eeb9293a606c84669bb7b9d79</v>
      </c>
      <c r="B5">
        <f>(T_All_K1_N10_P80[[#This Row],[1]]-T_All_K1_N10_P80[[#This Row],[0]])/(ABS(T_All_K1_N10_P80[[#This Row],[0]]))</f>
        <v>0.59135184159195642</v>
      </c>
      <c r="C5">
        <f>(T_All_K1_N10_P80[[#This Row],[2]]-T_All_K1_N10_P80[[#This Row],[1]])/(ABS(T_All_K1_N10_P80[[#This Row],[1]]))</f>
        <v>-0.31233425772237128</v>
      </c>
      <c r="D5">
        <f>(T_All_K1_N10_P80[[#This Row],[3]]-T_All_K1_N10_P80[[#This Row],[2]])/(ABS(T_All_K1_N10_P80[[#This Row],[2]]))</f>
        <v>-0.39614645700109202</v>
      </c>
      <c r="E5">
        <f>(T_All_K1_N10_P80[[#This Row],[4]]-T_All_K1_N10_P80[[#This Row],[3]])/(ABS(T_All_K1_N10_P80[[#This Row],[3]]))</f>
        <v>1.3537814014057283</v>
      </c>
      <c r="F5">
        <f>(T_All_K1_N10_P80[[#This Row],[5]]-T_All_K1_N10_P80[[#This Row],[4]])/(ABS(T_All_K1_N10_P80[[#This Row],[4]]))</f>
        <v>0.77398703323342555</v>
      </c>
      <c r="G5">
        <f>(T_All_K1_N10_P80[[#This Row],[6]]-T_All_K1_N10_P80[[#This Row],[5]])/(ABS(T_All_K1_N10_P80[[#This Row],[5]]))</f>
        <v>-0.36030766592905283</v>
      </c>
      <c r="H5">
        <f>(T_All_K1_N10_P80[[#This Row],[7]]-T_All_K1_N10_P80[[#This Row],[6]])/(ABS(T_All_K1_N10_P80[[#This Row],[6]]))</f>
        <v>0.96805948532503272</v>
      </c>
      <c r="I5">
        <f>(T_All_K1_N10_P80[[#This Row],[8]]-T_All_K1_N10_P80[[#This Row],[7]])/(ABS(T_All_K1_N10_P80[[#This Row],[7]]))</f>
        <v>-0.37022459585866502</v>
      </c>
      <c r="K5">
        <f t="shared" si="0"/>
        <v>0.28102084813062023</v>
      </c>
      <c r="L5">
        <f>(T_All_K1_N10_P80[[#This Row],[8]]-T_All_K1_N10_P80[[#This Row],[0]])/ABS(T_All_K1_N10_P80[[#This Row],[0]])</f>
        <v>1.1876953808760375</v>
      </c>
    </row>
    <row r="6" spans="1:12" x14ac:dyDescent="0.25">
      <c r="A6" t="str">
        <f>T_All_K1_N10_P80[[#This Row],[Identifier]]</f>
        <v>1553a8ee539ec150fa1873f4083b5a91fb0454442c51ad242566b14d68698236</v>
      </c>
      <c r="B6">
        <f>(T_All_K1_N10_P80[[#This Row],[1]]-T_All_K1_N10_P80[[#This Row],[0]])/(ABS(T_All_K1_N10_P80[[#This Row],[0]]))</f>
        <v>-7.7437221970425352E-2</v>
      </c>
      <c r="C6">
        <f>(T_All_K1_N10_P80[[#This Row],[2]]-T_All_K1_N10_P80[[#This Row],[1]])/(ABS(T_All_K1_N10_P80[[#This Row],[1]]))</f>
        <v>-0.10448548225435642</v>
      </c>
      <c r="D6">
        <f>(T_All_K1_N10_P80[[#This Row],[3]]-T_All_K1_N10_P80[[#This Row],[2]])/(ABS(T_All_K1_N10_P80[[#This Row],[2]]))</f>
        <v>-1.9317880667330454E-2</v>
      </c>
      <c r="E6">
        <f>(T_All_K1_N10_P80[[#This Row],[4]]-T_All_K1_N10_P80[[#This Row],[3]])/(ABS(T_All_K1_N10_P80[[#This Row],[3]]))</f>
        <v>0.59303892672921799</v>
      </c>
      <c r="F6">
        <f>(T_All_K1_N10_P80[[#This Row],[5]]-T_All_K1_N10_P80[[#This Row],[4]])/(ABS(T_All_K1_N10_P80[[#This Row],[4]]))</f>
        <v>-0.44734233029943354</v>
      </c>
      <c r="G6">
        <f>(T_All_K1_N10_P80[[#This Row],[6]]-T_All_K1_N10_P80[[#This Row],[5]])/(ABS(T_All_K1_N10_P80[[#This Row],[5]]))</f>
        <v>0.1296216625501655</v>
      </c>
      <c r="H6">
        <f>(T_All_K1_N10_P80[[#This Row],[7]]-T_All_K1_N10_P80[[#This Row],[6]])/(ABS(T_All_K1_N10_P80[[#This Row],[6]]))</f>
        <v>0.61782268078774605</v>
      </c>
      <c r="I6">
        <f>(T_All_K1_N10_P80[[#This Row],[8]]-T_All_K1_N10_P80[[#This Row],[7]])/(ABS(T_All_K1_N10_P80[[#This Row],[7]]))</f>
        <v>7.5650131388761768E-2</v>
      </c>
      <c r="K6">
        <f t="shared" si="0"/>
        <v>9.594381078304319E-2</v>
      </c>
      <c r="L6">
        <f>(T_All_K1_N10_P80[[#This Row],[8]]-T_All_K1_N10_P80[[#This Row],[0]])/ABS(T_All_K1_N10_P80[[#This Row],[0]])</f>
        <v>0.40221423699628733</v>
      </c>
    </row>
    <row r="7" spans="1:12" x14ac:dyDescent="0.25">
      <c r="A7" t="str">
        <f>T_All_K1_N10_P80[[#This Row],[Identifier]]</f>
        <v>06652da5d102bb886c2fa8dd0e019a4b01776be1d616b9f4588050817858a144</v>
      </c>
      <c r="B7">
        <f>(T_All_K1_N10_P80[[#This Row],[1]]-T_All_K1_N10_P80[[#This Row],[0]])/(ABS(T_All_K1_N10_P80[[#This Row],[0]]))</f>
        <v>-0.68965893124419464</v>
      </c>
      <c r="C7">
        <f>(T_All_K1_N10_P80[[#This Row],[2]]-T_All_K1_N10_P80[[#This Row],[1]])/(ABS(T_All_K1_N10_P80[[#This Row],[1]]))</f>
        <v>3.1116418077649328</v>
      </c>
      <c r="D7">
        <f>(T_All_K1_N10_P80[[#This Row],[3]]-T_All_K1_N10_P80[[#This Row],[2]])/(ABS(T_All_K1_N10_P80[[#This Row],[2]]))</f>
        <v>-0.41745906971214547</v>
      </c>
      <c r="E7">
        <f>(T_All_K1_N10_P80[[#This Row],[4]]-T_All_K1_N10_P80[[#This Row],[3]])/(ABS(T_All_K1_N10_P80[[#This Row],[3]]))</f>
        <v>1.3888884731109794</v>
      </c>
      <c r="F7">
        <f>(T_All_K1_N10_P80[[#This Row],[5]]-T_All_K1_N10_P80[[#This Row],[4]])/(ABS(T_All_K1_N10_P80[[#This Row],[4]]))</f>
        <v>-0.36979673791142664</v>
      </c>
      <c r="G7">
        <f>(T_All_K1_N10_P80[[#This Row],[6]]-T_All_K1_N10_P80[[#This Row],[5]])/(ABS(T_All_K1_N10_P80[[#This Row],[5]]))</f>
        <v>0.55952968289038174</v>
      </c>
      <c r="H7">
        <f>(T_All_K1_N10_P80[[#This Row],[7]]-T_All_K1_N10_P80[[#This Row],[6]])/(ABS(T_All_K1_N10_P80[[#This Row],[6]]))</f>
        <v>3.0508571412175958E-2</v>
      </c>
      <c r="I7">
        <f>(T_All_K1_N10_P80[[#This Row],[8]]-T_All_K1_N10_P80[[#This Row],[7]])/(ABS(T_All_K1_N10_P80[[#This Row],[7]]))</f>
        <v>0.31592473120124726</v>
      </c>
      <c r="K7">
        <f t="shared" si="0"/>
        <v>0.49119731593899385</v>
      </c>
      <c r="L7">
        <f>(T_All_K1_N10_P80[[#This Row],[8]]-T_All_K1_N10_P80[[#This Row],[0]])/ABS(T_All_K1_N10_P80[[#This Row],[0]])</f>
        <v>1.3666486848956574</v>
      </c>
    </row>
    <row r="8" spans="1:12" x14ac:dyDescent="0.25">
      <c r="A8" t="str">
        <f>T_All_K1_N10_P80[[#This Row],[Identifier]]</f>
        <v>bfca4d36471a8e984f0373fca5df94fd0d34e4d7198f9241e5ea1f41e2b7be79</v>
      </c>
      <c r="B8">
        <f>(T_All_K1_N10_P80[[#This Row],[1]]-T_All_K1_N10_P80[[#This Row],[0]])/(ABS(T_All_K1_N10_P80[[#This Row],[0]]))</f>
        <v>0.17407847930880685</v>
      </c>
      <c r="C8">
        <f>(T_All_K1_N10_P80[[#This Row],[2]]-T_All_K1_N10_P80[[#This Row],[1]])/(ABS(T_All_K1_N10_P80[[#This Row],[1]]))</f>
        <v>-0.15980189780826251</v>
      </c>
      <c r="D8">
        <f>(T_All_K1_N10_P80[[#This Row],[3]]-T_All_K1_N10_P80[[#This Row],[2]])/(ABS(T_All_K1_N10_P80[[#This Row],[2]]))</f>
        <v>0.68496500845898189</v>
      </c>
      <c r="E8">
        <f>(T_All_K1_N10_P80[[#This Row],[4]]-T_All_K1_N10_P80[[#This Row],[3]])/(ABS(T_All_K1_N10_P80[[#This Row],[3]]))</f>
        <v>-0.37155602555573203</v>
      </c>
      <c r="F8">
        <f>(T_All_K1_N10_P80[[#This Row],[5]]-T_All_K1_N10_P80[[#This Row],[4]])/(ABS(T_All_K1_N10_P80[[#This Row],[4]]))</f>
        <v>0.380427076373965</v>
      </c>
      <c r="G8">
        <f>(T_All_K1_N10_P80[[#This Row],[6]]-T_All_K1_N10_P80[[#This Row],[5]])/(ABS(T_All_K1_N10_P80[[#This Row],[5]]))</f>
        <v>-0.11846613237328495</v>
      </c>
      <c r="H8">
        <f>(T_All_K1_N10_P80[[#This Row],[7]]-T_All_K1_N10_P80[[#This Row],[6]])/(ABS(T_All_K1_N10_P80[[#This Row],[6]]))</f>
        <v>0.54912119467783249</v>
      </c>
      <c r="I8">
        <f>(T_All_K1_N10_P80[[#This Row],[8]]-T_All_K1_N10_P80[[#This Row],[7]])/(ABS(T_All_K1_N10_P80[[#This Row],[7]]))</f>
        <v>0.17272441029977861</v>
      </c>
      <c r="K8">
        <f t="shared" si="0"/>
        <v>0.16393651417276067</v>
      </c>
      <c r="L8">
        <f>(T_All_K1_N10_P80[[#This Row],[8]]-T_All_K1_N10_P80[[#This Row],[0]])/ABS(T_All_K1_N10_P80[[#This Row],[0]])</f>
        <v>1.3092455157577012</v>
      </c>
    </row>
    <row r="9" spans="1:12" x14ac:dyDescent="0.25">
      <c r="A9" t="str">
        <f>T_All_K1_N10_P80[[#This Row],[Identifier]]</f>
        <v>b63b67a5e75d4731d9d25b06aee6514d0f4fccaa061df42e153ca06d554ae6eb</v>
      </c>
      <c r="B9">
        <f>(T_All_K1_N10_P80[[#This Row],[1]]-T_All_K1_N10_P80[[#This Row],[0]])/(ABS(T_All_K1_N10_P80[[#This Row],[0]]))</f>
        <v>-0.13681930214228741</v>
      </c>
      <c r="C9">
        <f>(T_All_K1_N10_P80[[#This Row],[2]]-T_All_K1_N10_P80[[#This Row],[1]])/(ABS(T_All_K1_N10_P80[[#This Row],[1]]))</f>
        <v>0.17502401847225821</v>
      </c>
      <c r="D9">
        <f>(T_All_K1_N10_P80[[#This Row],[3]]-T_All_K1_N10_P80[[#This Row],[2]])/(ABS(T_All_K1_N10_P80[[#This Row],[2]]))</f>
        <v>0.66305974701291115</v>
      </c>
      <c r="E9">
        <f>(T_All_K1_N10_P80[[#This Row],[4]]-T_All_K1_N10_P80[[#This Row],[3]])/(ABS(T_All_K1_N10_P80[[#This Row],[3]]))</f>
        <v>-0.23856807865296664</v>
      </c>
      <c r="F9">
        <f>(T_All_K1_N10_P80[[#This Row],[5]]-T_All_K1_N10_P80[[#This Row],[4]])/(ABS(T_All_K1_N10_P80[[#This Row],[4]]))</f>
        <v>0.66997562647290032</v>
      </c>
      <c r="G9">
        <f>(T_All_K1_N10_P80[[#This Row],[6]]-T_All_K1_N10_P80[[#This Row],[5]])/(ABS(T_All_K1_N10_P80[[#This Row],[5]]))</f>
        <v>-0.1343355491738156</v>
      </c>
      <c r="H9">
        <f>(T_All_K1_N10_P80[[#This Row],[7]]-T_All_K1_N10_P80[[#This Row],[6]])/(ABS(T_All_K1_N10_P80[[#This Row],[6]]))</f>
        <v>-0.47229528818163674</v>
      </c>
      <c r="I9">
        <f>(T_All_K1_N10_P80[[#This Row],[8]]-T_All_K1_N10_P80[[#This Row],[7]])/(ABS(T_All_K1_N10_P80[[#This Row],[7]]))</f>
        <v>7.4612406138508058E-2</v>
      </c>
      <c r="K9">
        <f t="shared" si="0"/>
        <v>7.5081697493233929E-2</v>
      </c>
      <c r="L9">
        <f>(T_All_K1_N10_P80[[#This Row],[8]]-T_All_K1_N10_P80[[#This Row],[0]])/ABS(T_All_K1_N10_P80[[#This Row],[0]])</f>
        <v>5.2906808049375004E-2</v>
      </c>
    </row>
    <row r="10" spans="1:12" x14ac:dyDescent="0.25">
      <c r="A10" t="str">
        <f>T_All_K1_N10_P80[[#This Row],[Identifier]]</f>
        <v>5d1bb13988060fe2834141aa3f282e88cb01b77e2d124ea2903a4f86d04513e3</v>
      </c>
      <c r="B10">
        <f>(T_All_K1_N10_P80[[#This Row],[1]]-T_All_K1_N10_P80[[#This Row],[0]])/(ABS(T_All_K1_N10_P80[[#This Row],[0]]))</f>
        <v>-0.74909153935335226</v>
      </c>
      <c r="C10">
        <f>(T_All_K1_N10_P80[[#This Row],[2]]-T_All_K1_N10_P80[[#This Row],[1]])/(ABS(T_All_K1_N10_P80[[#This Row],[1]]))</f>
        <v>2.5709265565302042</v>
      </c>
      <c r="D10">
        <f>(T_All_K1_N10_P80[[#This Row],[3]]-T_All_K1_N10_P80[[#This Row],[2]])/(ABS(T_All_K1_N10_P80[[#This Row],[2]]))</f>
        <v>1.2429669107118757</v>
      </c>
      <c r="E10">
        <f>(T_All_K1_N10_P80[[#This Row],[4]]-T_All_K1_N10_P80[[#This Row],[3]])/(ABS(T_All_K1_N10_P80[[#This Row],[3]]))</f>
        <v>-0.42845105046411969</v>
      </c>
      <c r="F10">
        <f>(T_All_K1_N10_P80[[#This Row],[5]]-T_All_K1_N10_P80[[#This Row],[4]])/(ABS(T_All_K1_N10_P80[[#This Row],[4]]))</f>
        <v>2.7970587598679951E-2</v>
      </c>
      <c r="G10">
        <f>(T_All_K1_N10_P80[[#This Row],[6]]-T_All_K1_N10_P80[[#This Row],[5]])/(ABS(T_All_K1_N10_P80[[#This Row],[5]]))</f>
        <v>-1.3693472291265619E-2</v>
      </c>
      <c r="H10">
        <f>(T_All_K1_N10_P80[[#This Row],[7]]-T_All_K1_N10_P80[[#This Row],[6]])/(ABS(T_All_K1_N10_P80[[#This Row],[6]]))</f>
        <v>-0.57687798124363732</v>
      </c>
      <c r="I10">
        <f>(T_All_K1_N10_P80[[#This Row],[8]]-T_All_K1_N10_P80[[#This Row],[7]])/(ABS(T_All_K1_N10_P80[[#This Row],[7]]))</f>
        <v>3.8774655015616535</v>
      </c>
      <c r="K10">
        <f t="shared" si="0"/>
        <v>0.7439019391312548</v>
      </c>
      <c r="L10">
        <f>(T_All_K1_N10_P80[[#This Row],[8]]-T_All_K1_N10_P80[[#This Row],[0]])/ABS(T_All_K1_N10_P80[[#This Row],[0]])</f>
        <v>1.4033938763881255</v>
      </c>
    </row>
    <row r="11" spans="1:12" x14ac:dyDescent="0.25">
      <c r="A11" t="str">
        <f>T_All_K1_N10_P80[[#This Row],[Identifier]]</f>
        <v>11d8f1ac00bdf7436d03b827674ad62331b1e08df4ac0bf52abe04683b54c11c</v>
      </c>
      <c r="B11">
        <f>(T_All_K1_N10_P80[[#This Row],[1]]-T_All_K1_N10_P80[[#This Row],[0]])/(ABS(T_All_K1_N10_P80[[#This Row],[0]]))</f>
        <v>0.37294926236910031</v>
      </c>
      <c r="C11">
        <f>(T_All_K1_N10_P80[[#This Row],[2]]-T_All_K1_N10_P80[[#This Row],[1]])/(ABS(T_All_K1_N10_P80[[#This Row],[1]]))</f>
        <v>0.35907327199753603</v>
      </c>
      <c r="D11">
        <f>(T_All_K1_N10_P80[[#This Row],[3]]-T_All_K1_N10_P80[[#This Row],[2]])/(ABS(T_All_K1_N10_P80[[#This Row],[2]]))</f>
        <v>-3.1272959616886829E-2</v>
      </c>
      <c r="E11">
        <f>(T_All_K1_N10_P80[[#This Row],[4]]-T_All_K1_N10_P80[[#This Row],[3]])/(ABS(T_All_K1_N10_P80[[#This Row],[3]]))</f>
        <v>4.1988578592937316E-2</v>
      </c>
      <c r="F11">
        <f>(T_All_K1_N10_P80[[#This Row],[5]]-T_All_K1_N10_P80[[#This Row],[4]])/(ABS(T_All_K1_N10_P80[[#This Row],[4]]))</f>
        <v>-0.14674358579742736</v>
      </c>
      <c r="G11">
        <f>(T_All_K1_N10_P80[[#This Row],[6]]-T_All_K1_N10_P80[[#This Row],[5]])/(ABS(T_All_K1_N10_P80[[#This Row],[5]]))</f>
        <v>5.015120777356049E-2</v>
      </c>
      <c r="H11">
        <f>(T_All_K1_N10_P80[[#This Row],[7]]-T_All_K1_N10_P80[[#This Row],[6]])/(ABS(T_All_K1_N10_P80[[#This Row],[6]]))</f>
        <v>0.56996564114685722</v>
      </c>
      <c r="I11">
        <f>(T_All_K1_N10_P80[[#This Row],[8]]-T_All_K1_N10_P80[[#This Row],[7]])/(ABS(T_All_K1_N10_P80[[#This Row],[7]]))</f>
        <v>-0.29092034139915374</v>
      </c>
      <c r="K11">
        <f>AVERAGE(B11:I11)</f>
        <v>0.11564888438331544</v>
      </c>
      <c r="L11">
        <f>(T_All_K1_N10_P80[[#This Row],[8]]-T_All_K1_N10_P80[[#This Row],[0]])/ABS(T_All_K1_N10_P80[[#This Row],[0]])</f>
        <v>0.87879031829196264</v>
      </c>
    </row>
    <row r="14" spans="1:12" x14ac:dyDescent="0.25">
      <c r="J14" s="2" t="s">
        <v>25</v>
      </c>
      <c r="K14">
        <f>AVERAGE(K2:K11)</f>
        <v>0.24214545180385033</v>
      </c>
      <c r="L14">
        <f>AVERAGE(L2:L11)</f>
        <v>0.93954767662805683</v>
      </c>
    </row>
    <row r="17" spans="1:12" x14ac:dyDescent="0.25">
      <c r="A17" s="5"/>
      <c r="B17" s="6" t="s">
        <v>17</v>
      </c>
      <c r="C17" s="7" t="s">
        <v>18</v>
      </c>
      <c r="D17" s="7" t="s">
        <v>19</v>
      </c>
      <c r="E17" s="7" t="s">
        <v>20</v>
      </c>
      <c r="F17" s="7" t="s">
        <v>21</v>
      </c>
      <c r="G17" s="7" t="s">
        <v>22</v>
      </c>
      <c r="H17" s="7" t="s">
        <v>23</v>
      </c>
      <c r="I17" s="7" t="s">
        <v>24</v>
      </c>
      <c r="J17" s="5"/>
      <c r="K17" s="6" t="s">
        <v>25</v>
      </c>
      <c r="L17" s="6" t="s">
        <v>26</v>
      </c>
    </row>
    <row r="18" spans="1:12" x14ac:dyDescent="0.25">
      <c r="A18" s="5" t="s">
        <v>27</v>
      </c>
      <c r="B18" s="5">
        <f>AVERAGE(B2:B11)</f>
        <v>3.9648155136046435E-2</v>
      </c>
      <c r="C18" s="5">
        <f t="shared" ref="C18:I18" si="1">AVERAGE(C2:C11)</f>
        <v>0.53531488844870589</v>
      </c>
      <c r="D18" s="5">
        <f t="shared" si="1"/>
        <v>0.17148431631132871</v>
      </c>
      <c r="E18" s="5">
        <f t="shared" si="1"/>
        <v>0.28505824785169576</v>
      </c>
      <c r="F18" s="5">
        <f t="shared" si="1"/>
        <v>0.16934626100153236</v>
      </c>
      <c r="G18" s="5">
        <f t="shared" si="1"/>
        <v>0.20121142462175326</v>
      </c>
      <c r="H18" s="5">
        <f t="shared" si="1"/>
        <v>0.12805104567287037</v>
      </c>
      <c r="I18" s="5">
        <f t="shared" si="1"/>
        <v>0.40704927538686986</v>
      </c>
      <c r="J18" s="5"/>
      <c r="K18" s="5">
        <f>AVERAGE(B18:I18)</f>
        <v>0.24214545180385033</v>
      </c>
      <c r="L18" s="5">
        <f>(I18-B18)/(ABS(B18))</f>
        <v>9.2665375977808804</v>
      </c>
    </row>
  </sheetData>
  <conditionalFormatting sqref="A18:XFD18">
    <cfRule type="cellIs" dxfId="4" priority="1" operator="greaterThan">
      <formula>0</formula>
    </cfRule>
    <cfRule type="cellIs" dxfId="3" priority="2" operator="lessThan">
      <formula>0</formula>
    </cfRule>
  </conditionalFormatting>
  <conditionalFormatting sqref="K26 K27:L1048576 K1:L25">
    <cfRule type="cellIs" dxfId="2" priority="3" operator="lessThan">
      <formula>0</formula>
    </cfRule>
    <cfRule type="cellIs" dxfId="1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CAC00-A9EB-461B-A790-FBB9A7DFFB14}">
  <dimension ref="A1"/>
  <sheetViews>
    <sheetView topLeftCell="D1" zoomScale="145" zoomScaleNormal="145" workbookViewId="0">
      <selection activeCell="G78" sqref="G7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D51C3-8CFE-47D2-A4AC-BD8108A6BE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T-All_K1 N10 P80</vt:lpstr>
      <vt:lpstr>R Squared</vt:lpstr>
      <vt:lpstr>Relative Change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2025-12-02T03:21:50Z</dcterms:created>
  <dcterms:modified xsi:type="dcterms:W3CDTF">2026-03-03T02:15:26Z</dcterms:modified>
</cp:coreProperties>
</file>