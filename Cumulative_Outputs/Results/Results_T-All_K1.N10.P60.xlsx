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5E6B3CF0-C48E-4D44-9764-5C37605F93F2}" xr6:coauthVersionLast="47" xr6:coauthVersionMax="47" xr10:uidLastSave="{00000000-0000-0000-0000-000000000000}"/>
  <bookViews>
    <workbookView xWindow="-120" yWindow="-120" windowWidth="26580" windowHeight="15840" activeTab="2" xr2:uid="{5CF18307-C3AA-4F8D-B283-B3AED6997DE3}"/>
  </bookViews>
  <sheets>
    <sheet name="T-All_K1 N10 P60" sheetId="9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P60'!$A$1:$L$11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C2" i="3"/>
  <c r="D2" i="3"/>
  <c r="E2" i="3"/>
  <c r="F2" i="3"/>
  <c r="G2" i="3"/>
  <c r="H2" i="3"/>
  <c r="I2" i="3"/>
  <c r="C3" i="3"/>
  <c r="D3" i="3"/>
  <c r="E3" i="3"/>
  <c r="F3" i="3"/>
  <c r="G3" i="3"/>
  <c r="H3" i="3"/>
  <c r="I3" i="3"/>
  <c r="C4" i="3"/>
  <c r="D4" i="3"/>
  <c r="E4" i="3"/>
  <c r="F4" i="3"/>
  <c r="G4" i="3"/>
  <c r="H4" i="3"/>
  <c r="I4" i="3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B3" i="3"/>
  <c r="B4" i="3"/>
  <c r="B5" i="3"/>
  <c r="B6" i="3"/>
  <c r="B7" i="3"/>
  <c r="B8" i="3"/>
  <c r="B9" i="3"/>
  <c r="B10" i="3"/>
  <c r="B11" i="3"/>
  <c r="B2" i="3"/>
  <c r="A3" i="3"/>
  <c r="A4" i="3"/>
  <c r="A5" i="3"/>
  <c r="A6" i="3"/>
  <c r="A7" i="3"/>
  <c r="A8" i="3"/>
  <c r="A9" i="3"/>
  <c r="A10" i="3"/>
  <c r="A11" i="3"/>
  <c r="A2" i="3"/>
  <c r="B2" i="1"/>
  <c r="C2" i="1"/>
  <c r="D2" i="1"/>
  <c r="E2" i="1"/>
  <c r="F2" i="1"/>
  <c r="G2" i="1"/>
  <c r="H2" i="1"/>
  <c r="I2" i="1"/>
  <c r="J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A3" i="1"/>
  <c r="A4" i="1"/>
  <c r="A5" i="1"/>
  <c r="A6" i="1"/>
  <c r="A7" i="1"/>
  <c r="A8" i="1"/>
  <c r="A9" i="1"/>
  <c r="A10" i="1"/>
  <c r="A11" i="1"/>
  <c r="A2" i="1"/>
  <c r="L14" i="3" l="1"/>
  <c r="K2" i="3"/>
  <c r="C18" i="3"/>
  <c r="D18" i="3"/>
  <c r="E18" i="3"/>
  <c r="F18" i="3"/>
  <c r="G18" i="3"/>
  <c r="H18" i="3"/>
  <c r="I18" i="3"/>
  <c r="B18" i="3"/>
  <c r="B18" i="1"/>
  <c r="L18" i="1" s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L5" i="1"/>
  <c r="L7" i="1"/>
  <c r="K7" i="3"/>
  <c r="K8" i="3"/>
  <c r="L6" i="1"/>
  <c r="K4" i="3"/>
  <c r="K6" i="3"/>
  <c r="K5" i="3"/>
  <c r="K14" i="3" s="1"/>
  <c r="L3" i="1"/>
  <c r="L8" i="1"/>
  <c r="L4" i="1"/>
  <c r="K3" i="3"/>
  <c r="L2" i="1"/>
  <c r="L14" i="1" l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15235-32FE-40A1-AEFE-B2FF3C2D31B7}" keepAlive="1" name="Query - T-All_K1 N10 P60" description="Connection to the 'T-All_K1 N10 P60' query in the workbook." type="5" refreshedVersion="8" background="1" saveData="1">
    <dbPr connection="Provider=Microsoft.Mashup.OleDb.1;Data Source=$Workbook$;Location=&quot;T-All_K1 N10 P60&quot;;Extended Properties=&quot;&quot;" command="SELECT * FROM [T-All_K1 N10 P6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<sst xmlns="http://schemas.openxmlformats.org/spreadsheetml/2006/main" count="50" uniqueCount="39">
  <si>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</si>
  <si>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</si>
  <si>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</si>
  <si>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</si>
  <si>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</si>
  <si>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</si>
  <si>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</si>
  <si>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</si>
  <si>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</si>
  <si>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</si>
  <si>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</si>
  <si>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</si>
  <si>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</si>
  <si>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</si>
  <si>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</si>
  <si>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</si>
  <si>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</si>
  <si>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</si>
  <si>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</si>
  <si>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</si>
  <si>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</si>
  <si>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</si>
  <si>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</si>
  <si>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</si>
  <si>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</si>
  <si>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</si>
  <si>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</si>
  <si>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</si>
  <si>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</si>
  <si>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e6861fd8be4b5f7874ac8f634f77ea75224e75f1ceb72dc849bed16c052195ea</t>
  </si>
  <si>
    <t>8c5d5274cb473d04c8be4dfdde0976604d7775cff48c3a679ea8fd9dd2b36c07</t>
  </si>
  <si>
    <t>6a745d915ef19fee5f6ff0360ad64893127534d37b275917f863822cd038a459</t>
  </si>
  <si>
    <t>2e074d936f262bf8b00c4d17dc2478c846b190122a5a016bcd6b2b3ed74204b0</t>
  </si>
  <si>
    <t>5c319a72c946bf733eb7bff126cdc543c35fe63a41b3dea2ea545dd2244224de</t>
  </si>
  <si>
    <t>7418150131cd36b5cfb23baa2a6718ac4ac42906f591001f2cb0e7ef15c96cef</t>
  </si>
  <si>
    <t>597173c78aed500f7e3619871b3085f9e162f673edf60f5e9525b4b2ac22644d</t>
  </si>
  <si>
    <t>d84d56ebcb5c0e5ec7f60ea754a844baae9b04bb759a10f919871693198c3b35</t>
  </si>
  <si>
    <t>a06575ffdda3be11c2c8c3c6ca1c3a1adf2f55c1b2c59376c788df7fc16872ff</t>
  </si>
  <si>
    <t>3e4f47da0b50d35a05c2cd568a63e968dced584e232c041ad34d608e2ba0d191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</si>
</sst>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0D627B-DD48-47DD-B9E8-B8758F073904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1E502-2DAE-43DA-9814-582F29DE84A7}" name="T_All_K1_N10_P60" displayName="T_All_K1_N10_P60" ref="A1:L11" tableType="queryTable" totalsRowShown="0">
  <autoFilter ref="A1:L11" xr:uid="{E541E502-2DAE-43DA-9814-582F29DE84A7}"/>
  <tableColumns count="12">
    <tableColumn id="1" xr3:uid="{486FBA68-1286-4EAB-BC3B-27BC0AADF4BE}" uniqueName="1" name="Identifier" queryTableFieldId="1" dataDxfId="0"/>
    <tableColumn id="2" xr3:uid="{9A54C3A9-1D99-401C-9FC2-D7CBBE344FA8}" uniqueName="2" name="0" queryTableFieldId="2"/>
    <tableColumn id="3" xr3:uid="{7311524C-6F3B-4D79-8012-763C05B4F4CE}" uniqueName="3" name="1" queryTableFieldId="3"/>
    <tableColumn id="4" xr3:uid="{4671F505-534C-440D-8C37-D46D4C5D94C5}" uniqueName="4" name="2" queryTableFieldId="4"/>
    <tableColumn id="5" xr3:uid="{531E66F4-60E6-473B-9D79-93551CE991A8}" uniqueName="5" name="3" queryTableFieldId="5"/>
    <tableColumn id="6" xr3:uid="{60D3FCBA-1DAD-4C7F-BC71-F2365344D288}" uniqueName="6" name="4" queryTableFieldId="6"/>
    <tableColumn id="7" xr3:uid="{D1FEB669-A912-4A62-A1AF-499AAF028B7A}" uniqueName="7" name="5" queryTableFieldId="7"/>
    <tableColumn id="8" xr3:uid="{A7F2E5FF-42FA-433C-979A-40F8C68CA48F}" uniqueName="8" name="6" queryTableFieldId="8"/>
    <tableColumn id="9" xr3:uid="{100BF118-FE4B-4B6E-A3B4-B2A4956F4F3F}" uniqueName="9" name="7" queryTableFieldId="9"/>
    <tableColumn id="10" xr3:uid="{7344994C-D5B7-4285-B18D-27760C71DACF}" uniqueName="10" name="8" queryTableFieldId="10"/>
    <tableColumn id="11" xr3:uid="{4A642080-92D1-4023-A7A6-4EC467B3DBB6}" uniqueName="11" name="9" queryTableFieldId="11"/>
    <tableColumn id="12" xr3:uid="{BA20D615-DE62-4CDC-A784-C9B105BF94C1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ADE1-5C20-47D5-A895-5D58A26780A0}">
  <dimension ref="A1:L11"/>
  <sheetViews>
    <sheetView workbookViewId="0"/>
  </sheetViews>
  <sheetFormatPr defaultRowHeight="15" x14ac:dyDescent="0.25"/>
  <cols>
    <col min="1" max="1" width="68.710937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4.9848420143620729</v>
      </c>
      <c r="C2">
        <v>3.8839440402670533</v>
      </c>
      <c r="D2">
        <v>7.0318489732120284</v>
      </c>
      <c r="E2">
        <v>4.5009056161157339</v>
      </c>
      <c r="F2">
        <v>4.0808163342974861</v>
      </c>
      <c r="G2">
        <v>7.2675026803743616</v>
      </c>
      <c r="H2">
        <v>7.1675974714445783</v>
      </c>
      <c r="I2">
        <v>13.347658282581175</v>
      </c>
      <c r="J2">
        <v>9.2152171575707236</v>
      </c>
    </row>
    <row r="3" spans="1:12" x14ac:dyDescent="0.25">
      <c r="A3" s="8" t="s">
        <v>30</v>
      </c>
      <c r="B3">
        <v>8.5876468253968259</v>
      </c>
      <c r="C3">
        <v>7.948948412698412</v>
      </c>
      <c r="D3">
        <v>9.9751746031746009</v>
      </c>
      <c r="E3">
        <v>7.1661944444444439</v>
      </c>
      <c r="F3">
        <v>7.4523818001623612</v>
      </c>
      <c r="G3">
        <v>6.5386825396825392</v>
      </c>
      <c r="H3">
        <v>5.0850854366110196</v>
      </c>
      <c r="I3">
        <v>6.5003319701321542</v>
      </c>
      <c r="J3">
        <v>8.0325966502807677</v>
      </c>
    </row>
    <row r="4" spans="1:12" x14ac:dyDescent="0.25">
      <c r="A4" s="8" t="s">
        <v>31</v>
      </c>
      <c r="B4">
        <v>10.660109734193625</v>
      </c>
      <c r="C4">
        <v>5.6237931718529079</v>
      </c>
      <c r="D4">
        <v>5.8386341348385908</v>
      </c>
      <c r="E4">
        <v>7.9353185767938434</v>
      </c>
      <c r="F4">
        <v>6.1160038826263667</v>
      </c>
      <c r="G4">
        <v>3.1514341723629498</v>
      </c>
      <c r="H4">
        <v>10.514541511076613</v>
      </c>
      <c r="I4">
        <v>11.367559775699645</v>
      </c>
      <c r="J4">
        <v>9.642513187502125</v>
      </c>
    </row>
    <row r="5" spans="1:12" x14ac:dyDescent="0.25">
      <c r="A5" s="8" t="s">
        <v>32</v>
      </c>
      <c r="B5">
        <v>4.4276024438295227</v>
      </c>
      <c r="C5">
        <v>3.8627139057997719</v>
      </c>
      <c r="D5">
        <v>5.9502577716569025</v>
      </c>
      <c r="E5">
        <v>3.0554458405710561</v>
      </c>
      <c r="F5">
        <v>6.2649566347248928</v>
      </c>
      <c r="G5">
        <v>3.3285171875017152</v>
      </c>
      <c r="H5">
        <v>2.21497696942872</v>
      </c>
      <c r="I5">
        <v>5.467894725088013</v>
      </c>
      <c r="J5">
        <v>13.397412959552231</v>
      </c>
    </row>
    <row r="6" spans="1:12" x14ac:dyDescent="0.25">
      <c r="A6" s="8" t="s">
        <v>33</v>
      </c>
      <c r="B6">
        <v>7.722408730158735</v>
      </c>
      <c r="C6">
        <v>10.131654761904759</v>
      </c>
      <c r="D6">
        <v>14.507398831479863</v>
      </c>
      <c r="E6">
        <v>14.599365589285613</v>
      </c>
      <c r="F6">
        <v>16.550175760808816</v>
      </c>
      <c r="G6">
        <v>10.968479289123309</v>
      </c>
      <c r="H6">
        <v>8.1699462389473041</v>
      </c>
      <c r="I6">
        <v>11.308227549377589</v>
      </c>
      <c r="J6">
        <v>12.69375936919638</v>
      </c>
    </row>
    <row r="7" spans="1:12" x14ac:dyDescent="0.25">
      <c r="A7" s="8" t="s">
        <v>34</v>
      </c>
      <c r="B7">
        <v>4.7939722222222203</v>
      </c>
      <c r="C7">
        <v>4.5957817460317472</v>
      </c>
      <c r="D7">
        <v>3.5911150793650797</v>
      </c>
      <c r="E7">
        <v>4.1985912698412697</v>
      </c>
      <c r="F7">
        <v>4.2601626984126986</v>
      </c>
      <c r="G7">
        <v>3.6252817460317464</v>
      </c>
      <c r="H7">
        <v>3.8117539682539667</v>
      </c>
      <c r="I7">
        <v>4.2535396825396834</v>
      </c>
      <c r="J7">
        <v>4.3875555555555561</v>
      </c>
    </row>
    <row r="8" spans="1:12" x14ac:dyDescent="0.25">
      <c r="A8" s="8" t="s">
        <v>35</v>
      </c>
      <c r="B8">
        <v>5.1582654620953257</v>
      </c>
      <c r="C8">
        <v>6.9568188807875799</v>
      </c>
      <c r="D8">
        <v>9.2522518454070095</v>
      </c>
      <c r="E8">
        <v>5.3547050538310001</v>
      </c>
      <c r="F8">
        <v>8.3325296760124488</v>
      </c>
      <c r="G8">
        <v>4.3983787334977054</v>
      </c>
      <c r="H8">
        <v>6.4696619263993247</v>
      </c>
      <c r="I8">
        <v>13.001180111768422</v>
      </c>
      <c r="J8">
        <v>11.614932291355057</v>
      </c>
    </row>
    <row r="9" spans="1:12" x14ac:dyDescent="0.25">
      <c r="A9" s="8" t="s">
        <v>36</v>
      </c>
      <c r="B9">
        <v>3.5276146580320575</v>
      </c>
      <c r="C9">
        <v>4.4632800590013044</v>
      </c>
      <c r="D9">
        <v>8.4679748791428953</v>
      </c>
      <c r="E9">
        <v>5.4824243168812412</v>
      </c>
      <c r="F9">
        <v>7.5746319030769484</v>
      </c>
      <c r="G9">
        <v>3.7073344208227574</v>
      </c>
      <c r="H9">
        <v>5.8403760970406191</v>
      </c>
      <c r="I9">
        <v>3.1152712080949776</v>
      </c>
      <c r="J9">
        <v>5.9295115233093325</v>
      </c>
    </row>
    <row r="10" spans="1:12" x14ac:dyDescent="0.25">
      <c r="A10" s="8" t="s">
        <v>37</v>
      </c>
      <c r="B10">
        <v>6.0707490883430966</v>
      </c>
      <c r="C10">
        <v>5.7226458507805589</v>
      </c>
      <c r="D10">
        <v>9.6973815868646529</v>
      </c>
      <c r="E10">
        <v>5.6168251315149682</v>
      </c>
      <c r="F10">
        <v>9.728188687176786</v>
      </c>
      <c r="G10">
        <v>9.7125247017271654</v>
      </c>
      <c r="H10">
        <v>8.2882125521132419</v>
      </c>
      <c r="I10">
        <v>15.17347754818584</v>
      </c>
      <c r="J10">
        <v>7.5461247702629874</v>
      </c>
    </row>
    <row r="11" spans="1:12" x14ac:dyDescent="0.25">
      <c r="A11" s="8" t="s">
        <v>38</v>
      </c>
      <c r="B11">
        <v>4.5518879843755133</v>
      </c>
      <c r="C11">
        <v>9.5005491913372833</v>
      </c>
      <c r="D11">
        <v>7.588511585769929</v>
      </c>
      <c r="E11">
        <v>7.0601140315081521</v>
      </c>
      <c r="F11">
        <v>8.6361991345737685</v>
      </c>
      <c r="G11">
        <v>4.4062009507484392</v>
      </c>
      <c r="H11">
        <v>5.7998546802146755</v>
      </c>
      <c r="I11">
        <v>7.022605538841046</v>
      </c>
      <c r="J11">
        <v>7.659763325440176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M18"/>
  <sheetViews>
    <sheetView zoomScale="85" zoomScaleNormal="85" workbookViewId="0">
      <selection activeCell="D27" sqref="D27"/>
    </sheetView>
  </sheetViews>
  <sheetFormatPr defaultRowHeight="15" x14ac:dyDescent="0.25"/>
  <cols>
    <col min="1" max="1" width="71.28515625" bestFit="1" customWidth="1"/>
  </cols>
  <sheetData>
    <row r="1" spans="1:13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3" x14ac:dyDescent="0.25">
      <c r="A2" t="str">
        <f>T_All_K1_N10_P60[[#This Row],[Identifier]]</f>
        <v>e6861fd8be4b5f7874ac8f634f77ea75224e75f1ceb72dc849bed16c052195ea</v>
      </c>
      <c r="B2">
        <f>T_All_K1_N10_P60[[#This Row],[0]]</f>
        <v>4.9848420143620729</v>
      </c>
      <c r="C2">
        <f>T_All_K1_N10_P60[[#This Row],[1]]</f>
        <v>3.8839440402670533</v>
      </c>
      <c r="D2">
        <f>T_All_K1_N10_P60[[#This Row],[2]]</f>
        <v>7.0318489732120284</v>
      </c>
      <c r="E2">
        <f>T_All_K1_N10_P60[[#This Row],[3]]</f>
        <v>4.5009056161157339</v>
      </c>
      <c r="F2">
        <f>T_All_K1_N10_P60[[#This Row],[4]]</f>
        <v>4.0808163342974861</v>
      </c>
      <c r="G2">
        <f>T_All_K1_N10_P60[[#This Row],[5]]</f>
        <v>7.2675026803743616</v>
      </c>
      <c r="H2">
        <f>T_All_K1_N10_P60[[#This Row],[6]]</f>
        <v>7.1675974714445783</v>
      </c>
      <c r="I2">
        <f>T_All_K1_N10_P60[[#This Row],[7]]</f>
        <v>13.347658282581175</v>
      </c>
      <c r="J2">
        <f>T_All_K1_N10_P60[[#This Row],[8]]</f>
        <v>9.2152171575707236</v>
      </c>
      <c r="L2" s="3">
        <f t="shared" ref="L2:L11" si="0">RSQ(B2:J2,$B$1:$J$1)</f>
        <v>0.52952274542821609</v>
      </c>
    </row>
    <row r="3" spans="1:13" x14ac:dyDescent="0.25">
      <c r="A3" t="str">
        <f>T_All_K1_N10_P60[[#This Row],[Identifier]]</f>
        <v>8c5d5274cb473d04c8be4dfdde0976604d7775cff48c3a679ea8fd9dd2b36c07</v>
      </c>
      <c r="B3">
        <f>T_All_K1_N10_P60[[#This Row],[0]]</f>
        <v>8.5876468253968259</v>
      </c>
      <c r="C3">
        <f>T_All_K1_N10_P60[[#This Row],[1]]</f>
        <v>7.948948412698412</v>
      </c>
      <c r="D3">
        <f>T_All_K1_N10_P60[[#This Row],[2]]</f>
        <v>9.9751746031746009</v>
      </c>
      <c r="E3">
        <f>T_All_K1_N10_P60[[#This Row],[3]]</f>
        <v>7.1661944444444439</v>
      </c>
      <c r="F3">
        <f>T_All_K1_N10_P60[[#This Row],[4]]</f>
        <v>7.4523818001623612</v>
      </c>
      <c r="G3">
        <f>T_All_K1_N10_P60[[#This Row],[5]]</f>
        <v>6.5386825396825392</v>
      </c>
      <c r="H3">
        <f>T_All_K1_N10_P60[[#This Row],[6]]</f>
        <v>5.0850854366110196</v>
      </c>
      <c r="I3">
        <f>T_All_K1_N10_P60[[#This Row],[7]]</f>
        <v>6.5003319701321542</v>
      </c>
      <c r="J3">
        <f>T_All_K1_N10_P60[[#This Row],[8]]</f>
        <v>8.0325966502807677</v>
      </c>
      <c r="L3" s="3">
        <f t="shared" si="0"/>
        <v>0.3066553576252235</v>
      </c>
    </row>
    <row r="4" spans="1:13" x14ac:dyDescent="0.25">
      <c r="A4" t="str">
        <f>T_All_K1_N10_P60[[#This Row],[Identifier]]</f>
        <v>6a745d915ef19fee5f6ff0360ad64893127534d37b275917f863822cd038a459</v>
      </c>
      <c r="B4">
        <f>T_All_K1_N10_P60[[#This Row],[0]]</f>
        <v>10.660109734193625</v>
      </c>
      <c r="C4">
        <f>T_All_K1_N10_P60[[#This Row],[1]]</f>
        <v>5.6237931718529079</v>
      </c>
      <c r="D4">
        <f>T_All_K1_N10_P60[[#This Row],[2]]</f>
        <v>5.8386341348385908</v>
      </c>
      <c r="E4">
        <f>T_All_K1_N10_P60[[#This Row],[3]]</f>
        <v>7.9353185767938434</v>
      </c>
      <c r="F4">
        <f>T_All_K1_N10_P60[[#This Row],[4]]</f>
        <v>6.1160038826263667</v>
      </c>
      <c r="G4">
        <f>T_All_K1_N10_P60[[#This Row],[5]]</f>
        <v>3.1514341723629498</v>
      </c>
      <c r="H4">
        <f>T_All_K1_N10_P60[[#This Row],[6]]</f>
        <v>10.514541511076613</v>
      </c>
      <c r="I4">
        <f>T_All_K1_N10_P60[[#This Row],[7]]</f>
        <v>11.367559775699645</v>
      </c>
      <c r="J4">
        <f>T_All_K1_N10_P60[[#This Row],[8]]</f>
        <v>9.642513187502125</v>
      </c>
      <c r="L4" s="3">
        <f t="shared" si="0"/>
        <v>8.1003396769620248E-2</v>
      </c>
    </row>
    <row r="5" spans="1:13" x14ac:dyDescent="0.25">
      <c r="A5" t="str">
        <f>T_All_K1_N10_P60[[#This Row],[Identifier]]</f>
        <v>2e074d936f262bf8b00c4d17dc2478c846b190122a5a016bcd6b2b3ed74204b0</v>
      </c>
      <c r="B5">
        <f>T_All_K1_N10_P60[[#This Row],[0]]</f>
        <v>4.4276024438295227</v>
      </c>
      <c r="C5">
        <f>T_All_K1_N10_P60[[#This Row],[1]]</f>
        <v>3.8627139057997719</v>
      </c>
      <c r="D5">
        <f>T_All_K1_N10_P60[[#This Row],[2]]</f>
        <v>5.9502577716569025</v>
      </c>
      <c r="E5">
        <f>T_All_K1_N10_P60[[#This Row],[3]]</f>
        <v>3.0554458405710561</v>
      </c>
      <c r="F5">
        <f>T_All_K1_N10_P60[[#This Row],[4]]</f>
        <v>6.2649566347248928</v>
      </c>
      <c r="G5">
        <f>T_All_K1_N10_P60[[#This Row],[5]]</f>
        <v>3.3285171875017152</v>
      </c>
      <c r="H5">
        <f>T_All_K1_N10_P60[[#This Row],[6]]</f>
        <v>2.21497696942872</v>
      </c>
      <c r="I5">
        <f>T_All_K1_N10_P60[[#This Row],[7]]</f>
        <v>5.467894725088013</v>
      </c>
      <c r="J5">
        <f>T_All_K1_N10_P60[[#This Row],[8]]</f>
        <v>13.397412959552231</v>
      </c>
      <c r="L5" s="3">
        <f t="shared" si="0"/>
        <v>0.21200425655200533</v>
      </c>
    </row>
    <row r="6" spans="1:13" x14ac:dyDescent="0.25">
      <c r="A6" t="str">
        <f>T_All_K1_N10_P60[[#This Row],[Identifier]]</f>
        <v>5c319a72c946bf733eb7bff126cdc543c35fe63a41b3dea2ea545dd2244224de</v>
      </c>
      <c r="B6">
        <f>T_All_K1_N10_P60[[#This Row],[0]]</f>
        <v>7.722408730158735</v>
      </c>
      <c r="C6">
        <f>T_All_K1_N10_P60[[#This Row],[1]]</f>
        <v>10.131654761904759</v>
      </c>
      <c r="D6">
        <f>T_All_K1_N10_P60[[#This Row],[2]]</f>
        <v>14.507398831479863</v>
      </c>
      <c r="E6">
        <f>T_All_K1_N10_P60[[#This Row],[3]]</f>
        <v>14.599365589285613</v>
      </c>
      <c r="F6">
        <f>T_All_K1_N10_P60[[#This Row],[4]]</f>
        <v>16.550175760808816</v>
      </c>
      <c r="G6">
        <f>T_All_K1_N10_P60[[#This Row],[5]]</f>
        <v>10.968479289123309</v>
      </c>
      <c r="H6">
        <f>T_All_K1_N10_P60[[#This Row],[6]]</f>
        <v>8.1699462389473041</v>
      </c>
      <c r="I6">
        <f>T_All_K1_N10_P60[[#This Row],[7]]</f>
        <v>11.308227549377589</v>
      </c>
      <c r="J6">
        <f>T_All_K1_N10_P60[[#This Row],[8]]</f>
        <v>12.69375936919638</v>
      </c>
      <c r="L6" s="3">
        <f t="shared" si="0"/>
        <v>1.1695205222576563E-2</v>
      </c>
    </row>
    <row r="7" spans="1:13" x14ac:dyDescent="0.25">
      <c r="A7" t="str">
        <f>T_All_K1_N10_P60[[#This Row],[Identifier]]</f>
        <v>7418150131cd36b5cfb23baa2a6718ac4ac42906f591001f2cb0e7ef15c96cef</v>
      </c>
      <c r="B7">
        <f>T_All_K1_N10_P60[[#This Row],[0]]</f>
        <v>4.7939722222222203</v>
      </c>
      <c r="C7">
        <f>T_All_K1_N10_P60[[#This Row],[1]]</f>
        <v>4.5957817460317472</v>
      </c>
      <c r="D7">
        <f>T_All_K1_N10_P60[[#This Row],[2]]</f>
        <v>3.5911150793650797</v>
      </c>
      <c r="E7">
        <f>T_All_K1_N10_P60[[#This Row],[3]]</f>
        <v>4.1985912698412697</v>
      </c>
      <c r="F7">
        <f>T_All_K1_N10_P60[[#This Row],[4]]</f>
        <v>4.2601626984126986</v>
      </c>
      <c r="G7">
        <f>T_All_K1_N10_P60[[#This Row],[5]]</f>
        <v>3.6252817460317464</v>
      </c>
      <c r="H7">
        <f>T_All_K1_N10_P60[[#This Row],[6]]</f>
        <v>3.8117539682539667</v>
      </c>
      <c r="I7">
        <f>T_All_K1_N10_P60[[#This Row],[7]]</f>
        <v>4.2535396825396834</v>
      </c>
      <c r="J7">
        <f>T_All_K1_N10_P60[[#This Row],[8]]</f>
        <v>4.3875555555555561</v>
      </c>
      <c r="L7" s="3">
        <f t="shared" si="0"/>
        <v>9.2692680430170135E-2</v>
      </c>
    </row>
    <row r="8" spans="1:13" x14ac:dyDescent="0.25">
      <c r="A8" t="str">
        <f>T_All_K1_N10_P60[[#This Row],[Identifier]]</f>
        <v>597173c78aed500f7e3619871b3085f9e162f673edf60f5e9525b4b2ac22644d</v>
      </c>
      <c r="B8">
        <f>T_All_K1_N10_P60[[#This Row],[0]]</f>
        <v>5.1582654620953257</v>
      </c>
      <c r="C8">
        <f>T_All_K1_N10_P60[[#This Row],[1]]</f>
        <v>6.9568188807875799</v>
      </c>
      <c r="D8">
        <f>T_All_K1_N10_P60[[#This Row],[2]]</f>
        <v>9.2522518454070095</v>
      </c>
      <c r="E8">
        <f>T_All_K1_N10_P60[[#This Row],[3]]</f>
        <v>5.3547050538310001</v>
      </c>
      <c r="F8">
        <f>T_All_K1_N10_P60[[#This Row],[4]]</f>
        <v>8.3325296760124488</v>
      </c>
      <c r="G8">
        <f>T_All_K1_N10_P60[[#This Row],[5]]</f>
        <v>4.3983787334977054</v>
      </c>
      <c r="H8">
        <f>T_All_K1_N10_P60[[#This Row],[6]]</f>
        <v>6.4696619263993247</v>
      </c>
      <c r="I8">
        <f>T_All_K1_N10_P60[[#This Row],[7]]</f>
        <v>13.001180111768422</v>
      </c>
      <c r="J8">
        <f>T_All_K1_N10_P60[[#This Row],[8]]</f>
        <v>11.614932291355057</v>
      </c>
      <c r="L8" s="3">
        <f t="shared" si="0"/>
        <v>0.32903844064385845</v>
      </c>
    </row>
    <row r="9" spans="1:13" x14ac:dyDescent="0.25">
      <c r="A9" t="str">
        <f>T_All_K1_N10_P60[[#This Row],[Identifier]]</f>
        <v>d84d56ebcb5c0e5ec7f60ea754a844baae9b04bb759a10f919871693198c3b35</v>
      </c>
      <c r="B9">
        <f>T_All_K1_N10_P60[[#This Row],[0]]</f>
        <v>3.5276146580320575</v>
      </c>
      <c r="C9">
        <f>T_All_K1_N10_P60[[#This Row],[1]]</f>
        <v>4.4632800590013044</v>
      </c>
      <c r="D9">
        <f>T_All_K1_N10_P60[[#This Row],[2]]</f>
        <v>8.4679748791428953</v>
      </c>
      <c r="E9">
        <f>T_All_K1_N10_P60[[#This Row],[3]]</f>
        <v>5.4824243168812412</v>
      </c>
      <c r="F9">
        <f>T_All_K1_N10_P60[[#This Row],[4]]</f>
        <v>7.5746319030769484</v>
      </c>
      <c r="G9">
        <f>T_All_K1_N10_P60[[#This Row],[5]]</f>
        <v>3.7073344208227574</v>
      </c>
      <c r="H9">
        <f>T_All_K1_N10_P60[[#This Row],[6]]</f>
        <v>5.8403760970406191</v>
      </c>
      <c r="I9">
        <f>T_All_K1_N10_P60[[#This Row],[7]]</f>
        <v>3.1152712080949776</v>
      </c>
      <c r="J9">
        <f>T_All_K1_N10_P60[[#This Row],[8]]</f>
        <v>5.9295115233093325</v>
      </c>
      <c r="L9" s="3">
        <f t="shared" si="0"/>
        <v>1.324808409134202E-3</v>
      </c>
    </row>
    <row r="10" spans="1:13" x14ac:dyDescent="0.25">
      <c r="A10" t="str">
        <f>T_All_K1_N10_P60[[#This Row],[Identifier]]</f>
        <v>a06575ffdda3be11c2c8c3c6ca1c3a1adf2f55c1b2c59376c788df7fc16872ff</v>
      </c>
      <c r="B10">
        <f>T_All_K1_N10_P60[[#This Row],[0]]</f>
        <v>6.0707490883430966</v>
      </c>
      <c r="C10">
        <f>T_All_K1_N10_P60[[#This Row],[1]]</f>
        <v>5.7226458507805589</v>
      </c>
      <c r="D10">
        <f>T_All_K1_N10_P60[[#This Row],[2]]</f>
        <v>9.6973815868646529</v>
      </c>
      <c r="E10">
        <f>T_All_K1_N10_P60[[#This Row],[3]]</f>
        <v>5.6168251315149682</v>
      </c>
      <c r="F10">
        <f>T_All_K1_N10_P60[[#This Row],[4]]</f>
        <v>9.728188687176786</v>
      </c>
      <c r="G10">
        <f>T_All_K1_N10_P60[[#This Row],[5]]</f>
        <v>9.7125247017271654</v>
      </c>
      <c r="H10">
        <f>T_All_K1_N10_P60[[#This Row],[6]]</f>
        <v>8.2882125521132419</v>
      </c>
      <c r="I10">
        <f>T_All_K1_N10_P60[[#This Row],[7]]</f>
        <v>15.17347754818584</v>
      </c>
      <c r="J10">
        <f>T_All_K1_N10_P60[[#This Row],[8]]</f>
        <v>7.5461247702629874</v>
      </c>
      <c r="L10" s="3">
        <f t="shared" si="0"/>
        <v>0.29343779620226568</v>
      </c>
    </row>
    <row r="11" spans="1:13" x14ac:dyDescent="0.25">
      <c r="A11" t="str">
        <f>T_All_K1_N10_P60[[#This Row],[Identifier]]</f>
        <v>3e4f47da0b50d35a05c2cd568a63e968dced584e232c041ad34d608e2ba0d191</v>
      </c>
      <c r="B11">
        <f>T_All_K1_N10_P60[[#This Row],[0]]</f>
        <v>4.5518879843755133</v>
      </c>
      <c r="C11">
        <f>T_All_K1_N10_P60[[#This Row],[1]]</f>
        <v>9.5005491913372833</v>
      </c>
      <c r="D11">
        <f>T_All_K1_N10_P60[[#This Row],[2]]</f>
        <v>7.588511585769929</v>
      </c>
      <c r="E11">
        <f>T_All_K1_N10_P60[[#This Row],[3]]</f>
        <v>7.0601140315081521</v>
      </c>
      <c r="F11">
        <f>T_All_K1_N10_P60[[#This Row],[4]]</f>
        <v>8.6361991345737685</v>
      </c>
      <c r="G11">
        <f>T_All_K1_N10_P60[[#This Row],[5]]</f>
        <v>4.4062009507484392</v>
      </c>
      <c r="H11">
        <f>T_All_K1_N10_P60[[#This Row],[6]]</f>
        <v>5.7998546802146755</v>
      </c>
      <c r="I11">
        <f>T_All_K1_N10_P60[[#This Row],[7]]</f>
        <v>7.022605538841046</v>
      </c>
      <c r="J11">
        <f>T_All_K1_N10_P60[[#This Row],[8]]</f>
        <v>7.659763325440176</v>
      </c>
      <c r="L11" s="3">
        <f t="shared" si="0"/>
        <v>1.0651226321297855E-3</v>
      </c>
    </row>
    <row r="14" spans="1:13" x14ac:dyDescent="0.25">
      <c r="K14" s="2" t="s">
        <v>13</v>
      </c>
      <c r="L14" s="3">
        <f>AVERAGE(L2:L11)</f>
        <v>0.18584398099152</v>
      </c>
      <c r="M14">
        <v>0.46723682176170411</v>
      </c>
    </row>
    <row r="15" spans="1:13" x14ac:dyDescent="0.25">
      <c r="L15" s="3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6.0485099163008993</v>
      </c>
      <c r="C18" s="5">
        <f t="shared" ref="C18:J18" si="1">AVERAGE(C2:C11)</f>
        <v>6.2690130020461385</v>
      </c>
      <c r="D18" s="5">
        <f t="shared" si="1"/>
        <v>8.190054929091156</v>
      </c>
      <c r="E18" s="5">
        <f t="shared" si="1"/>
        <v>6.4969889870787316</v>
      </c>
      <c r="F18" s="5">
        <f t="shared" si="1"/>
        <v>7.899604651187258</v>
      </c>
      <c r="G18" s="5">
        <f t="shared" si="1"/>
        <v>5.7104336421872688</v>
      </c>
      <c r="H18" s="5">
        <f t="shared" si="1"/>
        <v>6.3362006851530071</v>
      </c>
      <c r="I18" s="5">
        <f t="shared" si="1"/>
        <v>9.0557746392308562</v>
      </c>
      <c r="J18" s="5">
        <f t="shared" si="1"/>
        <v>9.0119386790025349</v>
      </c>
      <c r="K18" s="5"/>
      <c r="L18" s="5">
        <f>RSQ(B1:J1,B18:J18)</f>
        <v>0.29751040859637462</v>
      </c>
    </row>
  </sheetData>
  <conditionalFormatting sqref="L1:L1048576">
    <cfRule type="containsBlanks" dxfId="8" priority="1">
      <formula>LEN(TRIM(L1))=0</formula>
    </cfRule>
    <cfRule type="cellIs" dxfId="7" priority="2" operator="between">
      <formula>0</formula>
      <formula>0.1</formula>
    </cfRule>
    <cfRule type="cellIs" dxfId="6" priority="3" operator="greaterThan">
      <formula>0.2</formula>
    </cfRule>
    <cfRule type="cellIs" dxfId="5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tabSelected="1" zoomScale="85" zoomScaleNormal="85" workbookViewId="0">
      <selection activeCell="O20" sqref="O20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T_All_K1_N10_P60[[#This Row],[Identifier]]</f>
        <v>e6861fd8be4b5f7874ac8f634f77ea75224e75f1ceb72dc849bed16c052195ea</v>
      </c>
      <c r="B2">
        <f>(T_All_K1_N10_P60[[#This Row],[1]]-T_All_K1_N10_P60[[#This Row],[0]])/(ABS(T_All_K1_N10_P60[[#This Row],[0]]))</f>
        <v>-0.22084912037797153</v>
      </c>
      <c r="C2">
        <f>(T_All_K1_N10_P60[[#This Row],[2]]-T_All_K1_N10_P60[[#This Row],[1]])/(ABS(T_All_K1_N10_P60[[#This Row],[1]]))</f>
        <v>0.81049183518322021</v>
      </c>
      <c r="D2">
        <f>(T_All_K1_N10_P60[[#This Row],[3]]-T_All_K1_N10_P60[[#This Row],[2]])/(ABS(T_All_K1_N10_P60[[#This Row],[2]]))</f>
        <v>-0.35992572746342744</v>
      </c>
      <c r="E2">
        <f>(T_All_K1_N10_P60[[#This Row],[4]]-T_All_K1_N10_P60[[#This Row],[3]])/(ABS(T_All_K1_N10_P60[[#This Row],[3]]))</f>
        <v>-9.3334390375593657E-2</v>
      </c>
      <c r="F2">
        <f>(T_All_K1_N10_P60[[#This Row],[5]]-T_All_K1_N10_P60[[#This Row],[4]])/(ABS(T_All_K1_N10_P60[[#This Row],[4]]))</f>
        <v>0.78089433216931692</v>
      </c>
      <c r="G2">
        <f>(T_All_K1_N10_P60[[#This Row],[6]]-T_All_K1_N10_P60[[#This Row],[5]])/(ABS(T_All_K1_N10_P60[[#This Row],[5]]))</f>
        <v>-1.3746841703901112E-2</v>
      </c>
      <c r="H2">
        <f>(T_All_K1_N10_P60[[#This Row],[7]]-T_All_K1_N10_P60[[#This Row],[6]])/(ABS(T_All_K1_N10_P60[[#This Row],[6]]))</f>
        <v>0.86222208149351476</v>
      </c>
      <c r="I2">
        <f>(T_All_K1_N10_P60[[#This Row],[8]]-T_All_K1_N10_P60[[#This Row],[7]])/(ABS(T_All_K1_N10_P60[[#This Row],[7]]))</f>
        <v>-0.30960045856158364</v>
      </c>
      <c r="K2">
        <f>AVERAGE(B2:I2)</f>
        <v>0.18201896379544683</v>
      </c>
      <c r="L2">
        <f>(T_All_K1_N10_P60[[#This Row],[8]]-T_All_K1_N10_P60[[#This Row],[0]])/ABS(T_All_K1_N10_P60[[#This Row],[0]])</f>
        <v>0.84864778683462971</v>
      </c>
    </row>
    <row r="3" spans="1:12" x14ac:dyDescent="0.25">
      <c r="A3" t="str">
        <f>T_All_K1_N10_P60[[#This Row],[Identifier]]</f>
        <v>8c5d5274cb473d04c8be4dfdde0976604d7775cff48c3a679ea8fd9dd2b36c07</v>
      </c>
      <c r="B3">
        <f>(T_All_K1_N10_P60[[#This Row],[1]]-T_All_K1_N10_P60[[#This Row],[0]])/(ABS(T_All_K1_N10_P60[[#This Row],[0]]))</f>
        <v>-7.4374089396590931E-2</v>
      </c>
      <c r="C3">
        <f>(T_All_K1_N10_P60[[#This Row],[2]]-T_All_K1_N10_P60[[#This Row],[1]])/(ABS(T_All_K1_N10_P60[[#This Row],[1]]))</f>
        <v>0.25490493651201723</v>
      </c>
      <c r="D3">
        <f>(T_All_K1_N10_P60[[#This Row],[3]]-T_All_K1_N10_P60[[#This Row],[2]])/(ABS(T_All_K1_N10_P60[[#This Row],[2]]))</f>
        <v>-0.28159709182796644</v>
      </c>
      <c r="E3">
        <f>(T_All_K1_N10_P60[[#This Row],[4]]-T_All_K1_N10_P60[[#This Row],[3]])/(ABS(T_All_K1_N10_P60[[#This Row],[3]]))</f>
        <v>3.9935750827942242E-2</v>
      </c>
      <c r="F3">
        <f>(T_All_K1_N10_P60[[#This Row],[5]]-T_All_K1_N10_P60[[#This Row],[4]])/(ABS(T_All_K1_N10_P60[[#This Row],[4]]))</f>
        <v>-0.1226049986408259</v>
      </c>
      <c r="G3">
        <f>(T_All_K1_N10_P60[[#This Row],[6]]-T_All_K1_N10_P60[[#This Row],[5]])/(ABS(T_All_K1_N10_P60[[#This Row],[5]]))</f>
        <v>-0.22230733702849159</v>
      </c>
      <c r="H3">
        <f>(T_All_K1_N10_P60[[#This Row],[7]]-T_All_K1_N10_P60[[#This Row],[6]])/(ABS(T_All_K1_N10_P60[[#This Row],[6]]))</f>
        <v>0.27831322623053756</v>
      </c>
      <c r="I3">
        <f>(T_All_K1_N10_P60[[#This Row],[8]]-T_All_K1_N10_P60[[#This Row],[7]])/(ABS(T_All_K1_N10_P60[[#This Row],[7]]))</f>
        <v>0.23572098889550436</v>
      </c>
      <c r="K3">
        <f t="shared" ref="K3:K10" si="0">AVERAGE(B3:I3)</f>
        <v>1.349892319651582E-2</v>
      </c>
      <c r="L3">
        <f>(T_All_K1_N10_P60[[#This Row],[8]]-T_All_K1_N10_P60[[#This Row],[0]])/ABS(T_All_K1_N10_P60[[#This Row],[0]])</f>
        <v>-6.4633558692070436E-2</v>
      </c>
    </row>
    <row r="4" spans="1:12" x14ac:dyDescent="0.25">
      <c r="A4" t="str">
        <f>T_All_K1_N10_P60[[#This Row],[Identifier]]</f>
        <v>6a745d915ef19fee5f6ff0360ad64893127534d37b275917f863822cd038a459</v>
      </c>
      <c r="B4">
        <f>(T_All_K1_N10_P60[[#This Row],[1]]-T_All_K1_N10_P60[[#This Row],[0]])/(ABS(T_All_K1_N10_P60[[#This Row],[0]]))</f>
        <v>-0.47244509558715958</v>
      </c>
      <c r="C4">
        <f>(T_All_K1_N10_P60[[#This Row],[2]]-T_All_K1_N10_P60[[#This Row],[1]])/(ABS(T_All_K1_N10_P60[[#This Row],[1]]))</f>
        <v>3.8202145139505164E-2</v>
      </c>
      <c r="D4">
        <f>(T_All_K1_N10_P60[[#This Row],[3]]-T_All_K1_N10_P60[[#This Row],[2]])/(ABS(T_All_K1_N10_P60[[#This Row],[2]]))</f>
        <v>0.35910529646729022</v>
      </c>
      <c r="E4">
        <f>(T_All_K1_N10_P60[[#This Row],[4]]-T_All_K1_N10_P60[[#This Row],[3]])/(ABS(T_All_K1_N10_P60[[#This Row],[3]]))</f>
        <v>-0.22926800941400211</v>
      </c>
      <c r="F4">
        <f>(T_All_K1_N10_P60[[#This Row],[5]]-T_All_K1_N10_P60[[#This Row],[4]])/(ABS(T_All_K1_N10_P60[[#This Row],[4]]))</f>
        <v>-0.4847233205140406</v>
      </c>
      <c r="G4">
        <f>(T_All_K1_N10_P60[[#This Row],[6]]-T_All_K1_N10_P60[[#This Row],[5]])/(ABS(T_All_K1_N10_P60[[#This Row],[5]]))</f>
        <v>2.3364306331655964</v>
      </c>
      <c r="H4">
        <f>(T_All_K1_N10_P60[[#This Row],[7]]-T_All_K1_N10_P60[[#This Row],[6]])/(ABS(T_All_K1_N10_P60[[#This Row],[6]]))</f>
        <v>8.1127480805930893E-2</v>
      </c>
      <c r="I4">
        <f>(T_All_K1_N10_P60[[#This Row],[8]]-T_All_K1_N10_P60[[#This Row],[7]])/(ABS(T_All_K1_N10_P60[[#This Row],[7]]))</f>
        <v>-0.15175170592769965</v>
      </c>
      <c r="K4">
        <f t="shared" si="0"/>
        <v>0.18458467801692757</v>
      </c>
      <c r="L4">
        <f>(T_All_K1_N10_P60[[#This Row],[8]]-T_All_K1_N10_P60[[#This Row],[0]])/ABS(T_All_K1_N10_P60[[#This Row],[0]])</f>
        <v>-9.5458355689100743E-2</v>
      </c>
    </row>
    <row r="5" spans="1:12" x14ac:dyDescent="0.25">
      <c r="A5" t="str">
        <f>T_All_K1_N10_P60[[#This Row],[Identifier]]</f>
        <v>2e074d936f262bf8b00c4d17dc2478c846b190122a5a016bcd6b2b3ed74204b0</v>
      </c>
      <c r="B5">
        <f>(T_All_K1_N10_P60[[#This Row],[1]]-T_All_K1_N10_P60[[#This Row],[0]])/(ABS(T_All_K1_N10_P60[[#This Row],[0]]))</f>
        <v>-0.12758339195900509</v>
      </c>
      <c r="C5">
        <f>(T_All_K1_N10_P60[[#This Row],[2]]-T_All_K1_N10_P60[[#This Row],[1]])/(ABS(T_All_K1_N10_P60[[#This Row],[1]]))</f>
        <v>0.54043450195023079</v>
      </c>
      <c r="D5">
        <f>(T_All_K1_N10_P60[[#This Row],[3]]-T_All_K1_N10_P60[[#This Row],[2]])/(ABS(T_All_K1_N10_P60[[#This Row],[2]]))</f>
        <v>-0.48650193692024879</v>
      </c>
      <c r="E5">
        <f>(T_All_K1_N10_P60[[#This Row],[4]]-T_All_K1_N10_P60[[#This Row],[3]])/(ABS(T_All_K1_N10_P60[[#This Row],[3]]))</f>
        <v>1.0504230680632802</v>
      </c>
      <c r="F5">
        <f>(T_All_K1_N10_P60[[#This Row],[5]]-T_All_K1_N10_P60[[#This Row],[4]])/(ABS(T_All_K1_N10_P60[[#This Row],[4]]))</f>
        <v>-0.46870866287362939</v>
      </c>
      <c r="G5">
        <f>(T_All_K1_N10_P60[[#This Row],[6]]-T_All_K1_N10_P60[[#This Row],[5]])/(ABS(T_All_K1_N10_P60[[#This Row],[5]]))</f>
        <v>-0.33454543129722725</v>
      </c>
      <c r="H5">
        <f>(T_All_K1_N10_P60[[#This Row],[7]]-T_All_K1_N10_P60[[#This Row],[6]])/(ABS(T_All_K1_N10_P60[[#This Row],[6]]))</f>
        <v>1.4686011640555683</v>
      </c>
      <c r="I5">
        <f>(T_All_K1_N10_P60[[#This Row],[8]]-T_All_K1_N10_P60[[#This Row],[7]])/(ABS(T_All_K1_N10_P60[[#This Row],[7]]))</f>
        <v>1.4501958492510263</v>
      </c>
      <c r="K5">
        <f t="shared" si="0"/>
        <v>0.3865393950337494</v>
      </c>
      <c r="L5">
        <f>(T_All_K1_N10_P60[[#This Row],[8]]-T_All_K1_N10_P60[[#This Row],[0]])/ABS(T_All_K1_N10_P60[[#This Row],[0]])</f>
        <v>2.0258843537823457</v>
      </c>
    </row>
    <row r="6" spans="1:12" x14ac:dyDescent="0.25">
      <c r="A6" t="str">
        <f>T_All_K1_N10_P60[[#This Row],[Identifier]]</f>
        <v>5c319a72c946bf733eb7bff126cdc543c35fe63a41b3dea2ea545dd2244224de</v>
      </c>
      <c r="B6">
        <f>(T_All_K1_N10_P60[[#This Row],[1]]-T_All_K1_N10_P60[[#This Row],[0]])/(ABS(T_All_K1_N10_P60[[#This Row],[0]]))</f>
        <v>0.31198115975616092</v>
      </c>
      <c r="C6">
        <f>(T_All_K1_N10_P60[[#This Row],[2]]-T_All_K1_N10_P60[[#This Row],[1]])/(ABS(T_All_K1_N10_P60[[#This Row],[1]]))</f>
        <v>0.43188839063367973</v>
      </c>
      <c r="D6">
        <f>(T_All_K1_N10_P60[[#This Row],[3]]-T_All_K1_N10_P60[[#This Row],[2]])/(ABS(T_All_K1_N10_P60[[#This Row],[2]]))</f>
        <v>6.3393003028351033E-3</v>
      </c>
      <c r="E6">
        <f>(T_All_K1_N10_P60[[#This Row],[4]]-T_All_K1_N10_P60[[#This Row],[3]])/(ABS(T_All_K1_N10_P60[[#This Row],[3]]))</f>
        <v>0.13362294132526492</v>
      </c>
      <c r="F6">
        <f>(T_All_K1_N10_P60[[#This Row],[5]]-T_All_K1_N10_P60[[#This Row],[4]])/(ABS(T_All_K1_N10_P60[[#This Row],[4]]))</f>
        <v>-0.33725904500078413</v>
      </c>
      <c r="G6">
        <f>(T_All_K1_N10_P60[[#This Row],[6]]-T_All_K1_N10_P60[[#This Row],[5]])/(ABS(T_All_K1_N10_P60[[#This Row],[5]]))</f>
        <v>-0.25514321323933381</v>
      </c>
      <c r="H6">
        <f>(T_All_K1_N10_P60[[#This Row],[7]]-T_All_K1_N10_P60[[#This Row],[6]])/(ABS(T_All_K1_N10_P60[[#This Row],[6]]))</f>
        <v>0.38412508707458176</v>
      </c>
      <c r="I6">
        <f>(T_All_K1_N10_P60[[#This Row],[8]]-T_All_K1_N10_P60[[#This Row],[7]])/(ABS(T_All_K1_N10_P60[[#This Row],[7]]))</f>
        <v>0.12252422528365653</v>
      </c>
      <c r="K6">
        <f t="shared" si="0"/>
        <v>9.9759855767007632E-2</v>
      </c>
      <c r="L6">
        <f>(T_All_K1_N10_P60[[#This Row],[8]]-T_All_K1_N10_P60[[#This Row],[0]])/ABS(T_All_K1_N10_P60[[#This Row],[0]])</f>
        <v>0.64375647712387507</v>
      </c>
    </row>
    <row r="7" spans="1:12" x14ac:dyDescent="0.25">
      <c r="A7" t="str">
        <f>T_All_K1_N10_P60[[#This Row],[Identifier]]</f>
        <v>7418150131cd36b5cfb23baa2a6718ac4ac42906f591001f2cb0e7ef15c96cef</v>
      </c>
      <c r="B7">
        <f>(T_All_K1_N10_P60[[#This Row],[1]]-T_All_K1_N10_P60[[#This Row],[0]])/(ABS(T_All_K1_N10_P60[[#This Row],[0]]))</f>
        <v>-4.1341598783524655E-2</v>
      </c>
      <c r="C7">
        <f>(T_All_K1_N10_P60[[#This Row],[2]]-T_All_K1_N10_P60[[#This Row],[1]])/(ABS(T_All_K1_N10_P60[[#This Row],[1]]))</f>
        <v>-0.21860626160808275</v>
      </c>
      <c r="D7">
        <f>(T_All_K1_N10_P60[[#This Row],[3]]-T_All_K1_N10_P60[[#This Row],[2]])/(ABS(T_All_K1_N10_P60[[#This Row],[2]]))</f>
        <v>0.16916088096614096</v>
      </c>
      <c r="E7">
        <f>(T_All_K1_N10_P60[[#This Row],[4]]-T_All_K1_N10_P60[[#This Row],[3]])/(ABS(T_All_K1_N10_P60[[#This Row],[3]]))</f>
        <v>1.4664782688827097E-2</v>
      </c>
      <c r="F7">
        <f>(T_All_K1_N10_P60[[#This Row],[5]]-T_All_K1_N10_P60[[#This Row],[4]])/(ABS(T_All_K1_N10_P60[[#This Row],[4]]))</f>
        <v>-0.14902739574183485</v>
      </c>
      <c r="G7">
        <f>(T_All_K1_N10_P60[[#This Row],[6]]-T_All_K1_N10_P60[[#This Row],[5]])/(ABS(T_All_K1_N10_P60[[#This Row],[5]]))</f>
        <v>5.1436615216550796E-2</v>
      </c>
      <c r="H7">
        <f>(T_All_K1_N10_P60[[#This Row],[7]]-T_All_K1_N10_P60[[#This Row],[6]])/(ABS(T_All_K1_N10_P60[[#This Row],[6]]))</f>
        <v>0.11590089968164538</v>
      </c>
      <c r="I7">
        <f>(T_All_K1_N10_P60[[#This Row],[8]]-T_All_K1_N10_P60[[#This Row],[7]])/(ABS(T_All_K1_N10_P60[[#This Row],[7]]))</f>
        <v>3.1506905546454224E-2</v>
      </c>
      <c r="K7">
        <f t="shared" si="0"/>
        <v>-3.2881465042279732E-3</v>
      </c>
      <c r="L7">
        <f>(T_All_K1_N10_P60[[#This Row],[8]]-T_All_K1_N10_P60[[#This Row],[0]])/ABS(T_All_K1_N10_P60[[#This Row],[0]])</f>
        <v>-8.4776600244519551E-2</v>
      </c>
    </row>
    <row r="8" spans="1:12" x14ac:dyDescent="0.25">
      <c r="A8" t="str">
        <f>T_All_K1_N10_P60[[#This Row],[Identifier]]</f>
        <v>597173c78aed500f7e3619871b3085f9e162f673edf60f5e9525b4b2ac22644d</v>
      </c>
      <c r="B8">
        <f>(T_All_K1_N10_P60[[#This Row],[1]]-T_All_K1_N10_P60[[#This Row],[0]])/(ABS(T_All_K1_N10_P60[[#This Row],[0]]))</f>
        <v>0.34867407114050863</v>
      </c>
      <c r="C8">
        <f>(T_All_K1_N10_P60[[#This Row],[2]]-T_All_K1_N10_P60[[#This Row],[1]])/(ABS(T_All_K1_N10_P60[[#This Row],[1]]))</f>
        <v>0.32995439495466122</v>
      </c>
      <c r="D8">
        <f>(T_All_K1_N10_P60[[#This Row],[3]]-T_All_K1_N10_P60[[#This Row],[2]])/(ABS(T_All_K1_N10_P60[[#This Row],[2]]))</f>
        <v>-0.42125385870368676</v>
      </c>
      <c r="E8">
        <f>(T_All_K1_N10_P60[[#This Row],[4]]-T_All_K1_N10_P60[[#This Row],[3]])/(ABS(T_All_K1_N10_P60[[#This Row],[3]]))</f>
        <v>0.55611365934169932</v>
      </c>
      <c r="F8">
        <f>(T_All_K1_N10_P60[[#This Row],[5]]-T_All_K1_N10_P60[[#This Row],[4]])/(ABS(T_All_K1_N10_P60[[#This Row],[4]]))</f>
        <v>-0.47214364610549342</v>
      </c>
      <c r="G8">
        <f>(T_All_K1_N10_P60[[#This Row],[6]]-T_All_K1_N10_P60[[#This Row],[5]])/(ABS(T_All_K1_N10_P60[[#This Row],[5]]))</f>
        <v>0.4709196998264133</v>
      </c>
      <c r="H8">
        <f>(T_All_K1_N10_P60[[#This Row],[7]]-T_All_K1_N10_P60[[#This Row],[6]])/(ABS(T_All_K1_N10_P60[[#This Row],[6]]))</f>
        <v>1.0095609723774543</v>
      </c>
      <c r="I8">
        <f>(T_All_K1_N10_P60[[#This Row],[8]]-T_All_K1_N10_P60[[#This Row],[7]])/(ABS(T_All_K1_N10_P60[[#This Row],[7]]))</f>
        <v>-0.10662476855916792</v>
      </c>
      <c r="K8">
        <f t="shared" si="0"/>
        <v>0.21440006553404858</v>
      </c>
      <c r="L8">
        <f>(T_All_K1_N10_P60[[#This Row],[8]]-T_All_K1_N10_P60[[#This Row],[0]])/ABS(T_All_K1_N10_P60[[#This Row],[0]])</f>
        <v>1.2517127853743659</v>
      </c>
    </row>
    <row r="9" spans="1:12" x14ac:dyDescent="0.25">
      <c r="A9" t="str">
        <f>T_All_K1_N10_P60[[#This Row],[Identifier]]</f>
        <v>d84d56ebcb5c0e5ec7f60ea754a844baae9b04bb759a10f919871693198c3b35</v>
      </c>
      <c r="B9">
        <f>(T_All_K1_N10_P60[[#This Row],[1]]-T_All_K1_N10_P60[[#This Row],[0]])/(ABS(T_All_K1_N10_P60[[#This Row],[0]]))</f>
        <v>0.26524025203229662</v>
      </c>
      <c r="C9">
        <f>(T_All_K1_N10_P60[[#This Row],[2]]-T_All_K1_N10_P60[[#This Row],[1]])/(ABS(T_All_K1_N10_P60[[#This Row],[1]]))</f>
        <v>0.89725376118066724</v>
      </c>
      <c r="D9">
        <f>(T_All_K1_N10_P60[[#This Row],[3]]-T_All_K1_N10_P60[[#This Row],[2]])/(ABS(T_All_K1_N10_P60[[#This Row],[2]]))</f>
        <v>-0.35256960546909927</v>
      </c>
      <c r="E9">
        <f>(T_All_K1_N10_P60[[#This Row],[4]]-T_All_K1_N10_P60[[#This Row],[3]])/(ABS(T_All_K1_N10_P60[[#This Row],[3]]))</f>
        <v>0.38162087887897933</v>
      </c>
      <c r="F9">
        <f>(T_All_K1_N10_P60[[#This Row],[5]]-T_All_K1_N10_P60[[#This Row],[4]])/(ABS(T_All_K1_N10_P60[[#This Row],[4]]))</f>
        <v>-0.51055913102301731</v>
      </c>
      <c r="G9">
        <f>(T_All_K1_N10_P60[[#This Row],[6]]-T_All_K1_N10_P60[[#This Row],[5]])/(ABS(T_All_K1_N10_P60[[#This Row],[5]]))</f>
        <v>0.5753572335523166</v>
      </c>
      <c r="H9">
        <f>(T_All_K1_N10_P60[[#This Row],[7]]-T_All_K1_N10_P60[[#This Row],[6]])/(ABS(T_All_K1_N10_P60[[#This Row],[6]]))</f>
        <v>-0.46659750051481808</v>
      </c>
      <c r="I9">
        <f>(T_All_K1_N10_P60[[#This Row],[8]]-T_All_K1_N10_P60[[#This Row],[7]])/(ABS(T_All_K1_N10_P60[[#This Row],[7]]))</f>
        <v>0.90336928223186497</v>
      </c>
      <c r="K9">
        <f t="shared" si="0"/>
        <v>0.21163939635864876</v>
      </c>
      <c r="L9">
        <f>(T_All_K1_N10_P60[[#This Row],[8]]-T_All_K1_N10_P60[[#This Row],[0]])/ABS(T_All_K1_N10_P60[[#This Row],[0]])</f>
        <v>0.68088413789991897</v>
      </c>
    </row>
    <row r="10" spans="1:12" x14ac:dyDescent="0.25">
      <c r="A10" t="str">
        <f>T_All_K1_N10_P60[[#This Row],[Identifier]]</f>
        <v>a06575ffdda3be11c2c8c3c6ca1c3a1adf2f55c1b2c59376c788df7fc16872ff</v>
      </c>
      <c r="B10">
        <f>(T_All_K1_N10_P60[[#This Row],[1]]-T_All_K1_N10_P60[[#This Row],[0]])/(ABS(T_All_K1_N10_P60[[#This Row],[0]]))</f>
        <v>-5.7341068210339477E-2</v>
      </c>
      <c r="C10">
        <f>(T_All_K1_N10_P60[[#This Row],[2]]-T_All_K1_N10_P60[[#This Row],[1]])/(ABS(T_All_K1_N10_P60[[#This Row],[1]]))</f>
        <v>0.69456259215166127</v>
      </c>
      <c r="D10">
        <f>(T_All_K1_N10_P60[[#This Row],[3]]-T_All_K1_N10_P60[[#This Row],[2]])/(ABS(T_All_K1_N10_P60[[#This Row],[2]]))</f>
        <v>-0.42078951094147937</v>
      </c>
      <c r="E10">
        <f>(T_All_K1_N10_P60[[#This Row],[4]]-T_All_K1_N10_P60[[#This Row],[3]])/(ABS(T_All_K1_N10_P60[[#This Row],[3]]))</f>
        <v>0.73197286000479456</v>
      </c>
      <c r="F10">
        <f>(T_All_K1_N10_P60[[#This Row],[5]]-T_All_K1_N10_P60[[#This Row],[4]])/(ABS(T_All_K1_N10_P60[[#This Row],[4]]))</f>
        <v>-1.6101646414679476E-3</v>
      </c>
      <c r="G10">
        <f>(T_All_K1_N10_P60[[#This Row],[6]]-T_All_K1_N10_P60[[#This Row],[5]])/(ABS(T_All_K1_N10_P60[[#This Row],[5]]))</f>
        <v>-0.14664695260549915</v>
      </c>
      <c r="H10">
        <f>(T_All_K1_N10_P60[[#This Row],[7]]-T_All_K1_N10_P60[[#This Row],[6]])/(ABS(T_All_K1_N10_P60[[#This Row],[6]]))</f>
        <v>0.83072978073143955</v>
      </c>
      <c r="I10">
        <f>(T_All_K1_N10_P60[[#This Row],[8]]-T_All_K1_N10_P60[[#This Row],[7]])/(ABS(T_All_K1_N10_P60[[#This Row],[7]]))</f>
        <v>-0.50267664440804394</v>
      </c>
      <c r="K10">
        <f t="shared" si="0"/>
        <v>0.14102511151013319</v>
      </c>
      <c r="L10">
        <f>(T_All_K1_N10_P60[[#This Row],[8]]-T_All_K1_N10_P60[[#This Row],[0]])/ABS(T_All_K1_N10_P60[[#This Row],[0]])</f>
        <v>0.2430302521896138</v>
      </c>
    </row>
    <row r="11" spans="1:12" x14ac:dyDescent="0.25">
      <c r="A11" t="str">
        <f>T_All_K1_N10_P60[[#This Row],[Identifier]]</f>
        <v>3e4f47da0b50d35a05c2cd568a63e968dced584e232c041ad34d608e2ba0d191</v>
      </c>
      <c r="B11">
        <f>(T_All_K1_N10_P60[[#This Row],[1]]-T_All_K1_N10_P60[[#This Row],[0]])/(ABS(T_All_K1_N10_P60[[#This Row],[0]]))</f>
        <v>1.0871667369557845</v>
      </c>
      <c r="C11">
        <f>(T_All_K1_N10_P60[[#This Row],[2]]-T_All_K1_N10_P60[[#This Row],[1]])/(ABS(T_All_K1_N10_P60[[#This Row],[1]]))</f>
        <v>-0.20125548187369774</v>
      </c>
      <c r="D11">
        <f>(T_All_K1_N10_P60[[#This Row],[3]]-T_All_K1_N10_P60[[#This Row],[2]])/(ABS(T_All_K1_N10_P60[[#This Row],[2]]))</f>
        <v>-6.9631250909945847E-2</v>
      </c>
      <c r="E11">
        <f>(T_All_K1_N10_P60[[#This Row],[4]]-T_All_K1_N10_P60[[#This Row],[3]])/(ABS(T_All_K1_N10_P60[[#This Row],[3]]))</f>
        <v>0.22323791032719903</v>
      </c>
      <c r="F11">
        <f>(T_All_K1_N10_P60[[#This Row],[5]]-T_All_K1_N10_P60[[#This Row],[4]])/(ABS(T_All_K1_N10_P60[[#This Row],[4]]))</f>
        <v>-0.48979859286606142</v>
      </c>
      <c r="G11">
        <f>(T_All_K1_N10_P60[[#This Row],[6]]-T_All_K1_N10_P60[[#This Row],[5]])/(ABS(T_All_K1_N10_P60[[#This Row],[5]]))</f>
        <v>0.31629372900696001</v>
      </c>
      <c r="H11">
        <f>(T_All_K1_N10_P60[[#This Row],[7]]-T_All_K1_N10_P60[[#This Row],[6]])/(ABS(T_All_K1_N10_P60[[#This Row],[6]]))</f>
        <v>0.21082439579005308</v>
      </c>
      <c r="I11">
        <f>(T_All_K1_N10_P60[[#This Row],[8]]-T_All_K1_N10_P60[[#This Row],[7]])/(ABS(T_All_K1_N10_P60[[#This Row],[7]]))</f>
        <v>9.0729542343664288E-2</v>
      </c>
      <c r="K11">
        <f>AVERAGE(B11:I11)</f>
        <v>0.14594587359674446</v>
      </c>
      <c r="L11">
        <f>(T_All_K1_N10_P60[[#This Row],[8]]-T_All_K1_N10_P60[[#This Row],[0]])/ABS(T_All_K1_N10_P60[[#This Row],[0]])</f>
        <v>0.6827662173877157</v>
      </c>
    </row>
    <row r="14" spans="1:12" x14ac:dyDescent="0.25">
      <c r="J14" s="2" t="s">
        <v>25</v>
      </c>
      <c r="K14">
        <f>AVERAGE(K2:K11)</f>
        <v>0.15761241163049941</v>
      </c>
      <c r="L14">
        <f>AVERAGE(L2:L11)</f>
        <v>0.61318134959667747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0.10191278555701593</v>
      </c>
      <c r="C18" s="5">
        <f t="shared" ref="C18:I18" si="1">AVERAGE(C2:C11)</f>
        <v>0.35778308142238624</v>
      </c>
      <c r="D18" s="5">
        <f t="shared" si="1"/>
        <v>-0.18576635044995876</v>
      </c>
      <c r="E18" s="5">
        <f t="shared" si="1"/>
        <v>0.28089894516683905</v>
      </c>
      <c r="F18" s="5">
        <f t="shared" si="1"/>
        <v>-0.22555406252378379</v>
      </c>
      <c r="G18" s="5">
        <f t="shared" si="1"/>
        <v>0.27780481348933844</v>
      </c>
      <c r="H18" s="5">
        <f t="shared" si="1"/>
        <v>0.47748075877259072</v>
      </c>
      <c r="I18" s="5">
        <f t="shared" si="1"/>
        <v>0.17633932160956753</v>
      </c>
      <c r="J18" s="5"/>
      <c r="K18" s="5">
        <f>AVERAGE(B18:I18)</f>
        <v>0.15761241163049941</v>
      </c>
      <c r="L18" s="5">
        <f>(I18-B18)/(ABS(B18))</f>
        <v>0.73029635728004982</v>
      </c>
    </row>
  </sheetData>
  <conditionalFormatting sqref="A18:XFD18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15 K16:L25 K26 K27:L1048576 K1:L14">
    <cfRule type="cellIs" dxfId="2" priority="3" operator="lessThan">
      <formula>0</formula>
    </cfRule>
    <cfRule type="cellIs" dxfId="1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P60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2026-03-03T02:21:07Z</dcterms:modified>
</cp:coreProperties>
</file>