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44EC8CEC-A939-48BA-8E1A-2733315714AF}" xr6:coauthVersionLast="47" xr6:coauthVersionMax="47" xr10:uidLastSave="{00000000-0000-0000-0000-000000000000}"/>
  <bookViews>
    <workbookView xWindow="-120" yWindow="-120" windowWidth="26580" windowHeight="15840" activeTab="2" xr2:uid="{5CF18307-C3AA-4F8D-B283-B3AED6997DE3}"/>
  </bookViews>
  <sheets>
    <sheet name="T-All_K1 N10 P70" sheetId="7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'T-All_K1 N10 P70'!$A$1:$L$6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2" i="3"/>
  <c r="B3" i="3"/>
  <c r="C3" i="3"/>
  <c r="D3" i="3"/>
  <c r="E3" i="3"/>
  <c r="F3" i="3"/>
  <c r="G3" i="3"/>
  <c r="H3" i="3"/>
  <c r="I3" i="3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C2" i="3"/>
  <c r="D2" i="3"/>
  <c r="E2" i="3"/>
  <c r="F2" i="3"/>
  <c r="G2" i="3"/>
  <c r="H2" i="3"/>
  <c r="I2" i="3"/>
  <c r="B2" i="3"/>
  <c r="A3" i="3"/>
  <c r="A4" i="3"/>
  <c r="A5" i="3"/>
  <c r="A6" i="3"/>
  <c r="A7" i="3"/>
  <c r="A8" i="3"/>
  <c r="A9" i="3"/>
  <c r="A10" i="3"/>
  <c r="A11" i="3"/>
  <c r="A2" i="3"/>
  <c r="B2" i="1"/>
  <c r="C2" i="1"/>
  <c r="D2" i="1"/>
  <c r="E2" i="1"/>
  <c r="F2" i="1"/>
  <c r="G2" i="1"/>
  <c r="H2" i="1"/>
  <c r="I2" i="1"/>
  <c r="J2" i="1"/>
  <c r="B3" i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A3" i="1"/>
  <c r="A4" i="1"/>
  <c r="A5" i="1"/>
  <c r="A6" i="1"/>
  <c r="A7" i="1"/>
  <c r="A8" i="1"/>
  <c r="A9" i="1"/>
  <c r="A10" i="1"/>
  <c r="A11" i="1"/>
  <c r="A2" i="1"/>
  <c r="L14" i="3" l="1"/>
  <c r="C18" i="3"/>
  <c r="D18" i="3"/>
  <c r="E18" i="3"/>
  <c r="F18" i="3"/>
  <c r="G18" i="3"/>
  <c r="H18" i="3"/>
  <c r="I18" i="3"/>
  <c r="B18" i="3"/>
  <c r="B18" i="1"/>
  <c r="C18" i="1"/>
  <c r="D18" i="1"/>
  <c r="E18" i="1"/>
  <c r="F18" i="1"/>
  <c r="G18" i="1"/>
  <c r="H18" i="1"/>
  <c r="I18" i="1"/>
  <c r="J18" i="1"/>
  <c r="L10" i="1" l="1"/>
  <c r="K9" i="3"/>
  <c r="K10" i="3"/>
  <c r="L11" i="1"/>
  <c r="K11" i="3"/>
  <c r="L9" i="1"/>
  <c r="K2" i="3"/>
  <c r="L5" i="1"/>
  <c r="L7" i="1"/>
  <c r="K7" i="3"/>
  <c r="K8" i="3"/>
  <c r="L6" i="1"/>
  <c r="K4" i="3"/>
  <c r="K6" i="3"/>
  <c r="K5" i="3"/>
  <c r="L3" i="1"/>
  <c r="L8" i="1"/>
  <c r="L4" i="1"/>
  <c r="K3" i="3"/>
  <c r="L2" i="1"/>
  <c r="K14" i="3" l="1"/>
  <c r="L14" i="1"/>
  <c r="L18" i="1"/>
  <c r="L18" i="3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4245A7-28DB-4DD8-94C0-CC8A10098B48}" keepAlive="1" name="Query - T-All_K1 N10 P70" description="Connection to the 'T-All_K1 N10 P70' query in the workbook." type="5" refreshedVersion="8" background="1" saveData="1">
    <dbPr connection="Provider=Microsoft.Mashup.OleDb.1;Data Source=$Workbook$;Location=&quot;T-All_K1 N10 P70&quot;;Extended Properties=&quot;&quot;" command="SELECT * FROM [T-All_K1 N10 P70]"/>
  </connection>
</connections>
</file>

<file path=xl/sharedStrings.xml><?xml version="1.0" encoding="utf-8"?>
<sst xmlns="http://schemas.openxmlformats.org/spreadsheetml/2006/main" count="45" uniqueCount="34">
  <si>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</si>
  <si>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</si>
  <si>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</si>
  <si>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</si>
  <si>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</si>
  <si>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</si>
  <si>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</si>
  <si>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</si>
  <si>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</si>
  <si>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</si>
  <si>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</si>
  <si>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</si>
  <si>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</si>
  <si>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</si>
  <si>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</si>
  <si>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</si>
  <si>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</si>
  <si>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</si>
  <si>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</si>
  <si>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</si>
  <si>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</si>
  <si>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</si>
  <si>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</si>
  <si>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</si>
  <si>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</si>
  <si>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</si>
  <si>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</si>
  <si>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Average per Timestep</t>
  </si>
  <si>
    <t>Average per ID</t>
  </si>
  <si>
    <t>4a714a8520a1dd8243f6528cbce6f5f283dd902700b014b9ec0c936fe91d1bb4</t>
  </si>
  <si>
    <t>33182f68a3f46948d54d2b810f3d8722e04ded392aaecbcf9bd1729c375ef4f6</t>
  </si>
  <si>
    <t>84ae1a06a9e3f8fb81e718337a501e8b20f1b53438a9560c28fad0d93efab98a</t>
  </si>
  <si>
    <t>aa334bc0536b3ecc8982fa5614d408a069aa9a40c74bac7d5d10760669ec4a3e</t>
  </si>
  <si>
    <t>397af47fa05151988668f581136222542b3bd922f76812992821edefe2ef5602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</si>
</sst>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9B08FA-B0BA-4802-AEEA-A968084A806D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32D2C-3505-4A3A-9C98-521E5C0ADF89}" name="T_All_K1_N10_P70" displayName="T_All_K1_N10_P70" ref="A1:L6" tableType="queryTable" totalsRowShown="0">
  <autoFilter ref="A1:L6" xr:uid="{B1C32D2C-3505-4A3A-9C98-521E5C0ADF89}"/>
  <tableColumns count="12">
    <tableColumn id="1" xr3:uid="{47671763-9E3E-4009-948D-8126A184DC23}" uniqueName="1" name="Identifier" queryTableFieldId="1" dataDxfId="0"/>
    <tableColumn id="2" xr3:uid="{58D06D84-D092-427A-AF85-F6E3C6090AB5}" uniqueName="2" name="0" queryTableFieldId="2"/>
    <tableColumn id="3" xr3:uid="{5A046C86-FE59-4A8D-A8D7-4CAF17695EFC}" uniqueName="3" name="1" queryTableFieldId="3"/>
    <tableColumn id="4" xr3:uid="{571B88E7-1459-4F38-AD6C-9DB21FC23622}" uniqueName="4" name="2" queryTableFieldId="4"/>
    <tableColumn id="5" xr3:uid="{DBC45DCE-5C03-49CB-8363-830379013E36}" uniqueName="5" name="3" queryTableFieldId="5"/>
    <tableColumn id="6" xr3:uid="{CD51B0C4-B2E9-4B16-A3E7-27B3C3D4C6F7}" uniqueName="6" name="4" queryTableFieldId="6"/>
    <tableColumn id="7" xr3:uid="{7D211705-32C4-461D-A4FB-FA8A15A8E614}" uniqueName="7" name="5" queryTableFieldId="7"/>
    <tableColumn id="8" xr3:uid="{3A536C49-8B13-4922-AB24-1AAF98560D90}" uniqueName="8" name="6" queryTableFieldId="8"/>
    <tableColumn id="9" xr3:uid="{18534574-37D0-4503-946A-6A8E49CADD19}" uniqueName="9" name="7" queryTableFieldId="9"/>
    <tableColumn id="10" xr3:uid="{618B77CF-D68B-4F95-B3A2-33575E51490A}" uniqueName="10" name="8" queryTableFieldId="10"/>
    <tableColumn id="11" xr3:uid="{12180B0A-5358-496C-AF28-EFD31AD70259}" uniqueName="11" name="9" queryTableFieldId="11"/>
    <tableColumn id="12" xr3:uid="{508D57E8-DE3E-4591-A673-A153ED96A918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CD4-66AA-4C55-814C-6F7F9B03E803}">
  <dimension ref="A1:L6"/>
  <sheetViews>
    <sheetView workbookViewId="0"/>
  </sheetViews>
  <sheetFormatPr defaultRowHeight="15" x14ac:dyDescent="0.25"/>
  <cols>
    <col min="1" max="1" width="68.7109375" bestFit="1" customWidth="1"/>
    <col min="2" max="10" width="12" bestFit="1" customWidth="1"/>
    <col min="11" max="11" width="4.28515625" bestFit="1" customWidth="1"/>
    <col min="12" max="12" width="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8" t="s">
        <v>29</v>
      </c>
      <c r="B2">
        <v>3.662289894607949</v>
      </c>
      <c r="C2">
        <v>3.7355971962311156</v>
      </c>
      <c r="D2">
        <v>1.142141150135753</v>
      </c>
      <c r="E2">
        <v>2.5907989143322441</v>
      </c>
      <c r="F2">
        <v>5.5806122208793463</v>
      </c>
      <c r="G2">
        <v>7.9136342667352899</v>
      </c>
      <c r="H2">
        <v>2.7140674869242116</v>
      </c>
      <c r="I2">
        <v>8.8159044278308212</v>
      </c>
      <c r="J2">
        <v>9.4516184423434151</v>
      </c>
    </row>
    <row r="3" spans="1:12" x14ac:dyDescent="0.25">
      <c r="A3" s="8" t="s">
        <v>30</v>
      </c>
      <c r="B3">
        <v>4.5286375439590607</v>
      </c>
      <c r="C3">
        <v>3.8704308131929657</v>
      </c>
      <c r="D3">
        <v>5.469653784863107</v>
      </c>
      <c r="E3">
        <v>4.1670754330672288</v>
      </c>
      <c r="F3">
        <v>5.6451061270290213</v>
      </c>
      <c r="G3">
        <v>6.8562702378616835</v>
      </c>
      <c r="H3">
        <v>4.5186245387884503</v>
      </c>
      <c r="I3">
        <v>3.2401311192667479</v>
      </c>
      <c r="J3">
        <v>2.9524043239734969</v>
      </c>
    </row>
    <row r="4" spans="1:12" x14ac:dyDescent="0.25">
      <c r="A4" s="8" t="s">
        <v>31</v>
      </c>
      <c r="B4">
        <v>1.593839945774973</v>
      </c>
      <c r="C4">
        <v>2.4427440485403782</v>
      </c>
      <c r="D4">
        <v>4.069494670883695</v>
      </c>
      <c r="E4">
        <v>8.2720738456983085</v>
      </c>
      <c r="F4">
        <v>9.9087660229244712</v>
      </c>
      <c r="G4">
        <v>5.3814303747384118</v>
      </c>
      <c r="H4">
        <v>5.4571454270268598</v>
      </c>
      <c r="I4">
        <v>6.1827789034099165</v>
      </c>
      <c r="J4">
        <v>9.9925743088332872</v>
      </c>
    </row>
    <row r="5" spans="1:12" x14ac:dyDescent="0.25">
      <c r="A5" s="8" t="s">
        <v>32</v>
      </c>
      <c r="B5">
        <v>8.545174941515608</v>
      </c>
      <c r="C5">
        <v>7.8133241855980042</v>
      </c>
      <c r="D5">
        <v>15.133806990278854</v>
      </c>
      <c r="E5">
        <v>12.492752288879077</v>
      </c>
      <c r="F5">
        <v>5.0843238422646309</v>
      </c>
      <c r="G5">
        <v>14.313418533798473</v>
      </c>
      <c r="H5">
        <v>10.800916012912332</v>
      </c>
      <c r="I5">
        <v>17.277122417262834</v>
      </c>
      <c r="J5">
        <v>19.748283112754095</v>
      </c>
    </row>
    <row r="6" spans="1:12" x14ac:dyDescent="0.25">
      <c r="A6" s="8" t="s">
        <v>33</v>
      </c>
      <c r="B6">
        <v>4.4495521890803369</v>
      </c>
      <c r="C6">
        <v>4.5897965513320322</v>
      </c>
      <c r="D6">
        <v>11.294422138655179</v>
      </c>
      <c r="E6">
        <v>12.051382459407817</v>
      </c>
      <c r="F6">
        <v>6.9531951677788451</v>
      </c>
      <c r="G6">
        <v>2.982594494347707</v>
      </c>
      <c r="H6">
        <v>5.3746489080788429</v>
      </c>
      <c r="I6">
        <v>9.7118402447609977</v>
      </c>
      <c r="J6">
        <v>6.0864684233911071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L18"/>
  <sheetViews>
    <sheetView zoomScale="130" zoomScaleNormal="130" workbookViewId="0">
      <selection activeCell="B18" sqref="B18"/>
    </sheetView>
  </sheetViews>
  <sheetFormatPr defaultRowHeight="15" x14ac:dyDescent="0.25"/>
  <cols>
    <col min="1" max="1" width="20.42578125" customWidth="1"/>
  </cols>
  <sheetData>
    <row r="1" spans="1:12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L1" s="2" t="s">
        <v>12</v>
      </c>
    </row>
    <row r="2" spans="1:12" x14ac:dyDescent="0.25">
      <c r="A2" t="str">
        <f>T_All_K1_N10_P70[[#This Row],[Identifier]]</f>
        <v>4a714a8520a1dd8243f6528cbce6f5f283dd902700b014b9ec0c936fe91d1bb4</v>
      </c>
      <c r="B2">
        <f>T_All_K1_N10_P70[[#This Row],[0]]</f>
        <v>3.662289894607949</v>
      </c>
      <c r="C2">
        <f>T_All_K1_N10_P70[[#This Row],[1]]</f>
        <v>3.7355971962311156</v>
      </c>
      <c r="D2">
        <f>T_All_K1_N10_P70[[#This Row],[2]]</f>
        <v>1.142141150135753</v>
      </c>
      <c r="E2">
        <f>T_All_K1_N10_P70[[#This Row],[3]]</f>
        <v>2.5907989143322441</v>
      </c>
      <c r="F2">
        <f>T_All_K1_N10_P70[[#This Row],[4]]</f>
        <v>5.5806122208793463</v>
      </c>
      <c r="G2">
        <f>T_All_K1_N10_P70[[#This Row],[5]]</f>
        <v>7.9136342667352899</v>
      </c>
      <c r="H2">
        <f>T_All_K1_N10_P70[[#This Row],[6]]</f>
        <v>2.7140674869242116</v>
      </c>
      <c r="I2">
        <f>T_All_K1_N10_P70[[#This Row],[7]]</f>
        <v>8.8159044278308212</v>
      </c>
      <c r="J2">
        <f>T_All_K1_N10_P70[[#This Row],[8]]</f>
        <v>9.4516184423434151</v>
      </c>
      <c r="L2" s="3">
        <f t="shared" ref="L2:L11" si="0">RSQ(B2:J2,$B$1:$J$1)</f>
        <v>0.50514867911198691</v>
      </c>
    </row>
    <row r="3" spans="1:12" x14ac:dyDescent="0.25">
      <c r="A3" t="str">
        <f>T_All_K1_N10_P70[[#This Row],[Identifier]]</f>
        <v>33182f68a3f46948d54d2b810f3d8722e04ded392aaecbcf9bd1729c375ef4f6</v>
      </c>
      <c r="B3">
        <f>T_All_K1_N10_P70[[#This Row],[0]]</f>
        <v>4.5286375439590607</v>
      </c>
      <c r="C3">
        <f>T_All_K1_N10_P70[[#This Row],[1]]</f>
        <v>3.8704308131929657</v>
      </c>
      <c r="D3">
        <f>T_All_K1_N10_P70[[#This Row],[2]]</f>
        <v>5.469653784863107</v>
      </c>
      <c r="E3">
        <f>T_All_K1_N10_P70[[#This Row],[3]]</f>
        <v>4.1670754330672288</v>
      </c>
      <c r="F3">
        <f>T_All_K1_N10_P70[[#This Row],[4]]</f>
        <v>5.6451061270290213</v>
      </c>
      <c r="G3">
        <f>T_All_K1_N10_P70[[#This Row],[5]]</f>
        <v>6.8562702378616835</v>
      </c>
      <c r="H3">
        <f>T_All_K1_N10_P70[[#This Row],[6]]</f>
        <v>4.5186245387884503</v>
      </c>
      <c r="I3">
        <f>T_All_K1_N10_P70[[#This Row],[7]]</f>
        <v>3.2401311192667479</v>
      </c>
      <c r="J3">
        <f>T_All_K1_N10_P70[[#This Row],[8]]</f>
        <v>2.9524043239734969</v>
      </c>
      <c r="L3" s="3">
        <f t="shared" si="0"/>
        <v>7.4788686845169608E-2</v>
      </c>
    </row>
    <row r="4" spans="1:12" x14ac:dyDescent="0.25">
      <c r="A4" t="str">
        <f>T_All_K1_N10_P70[[#This Row],[Identifier]]</f>
        <v>84ae1a06a9e3f8fb81e718337a501e8b20f1b53438a9560c28fad0d93efab98a</v>
      </c>
      <c r="B4">
        <f>T_All_K1_N10_P70[[#This Row],[0]]</f>
        <v>1.593839945774973</v>
      </c>
      <c r="C4">
        <f>T_All_K1_N10_P70[[#This Row],[1]]</f>
        <v>2.4427440485403782</v>
      </c>
      <c r="D4">
        <f>T_All_K1_N10_P70[[#This Row],[2]]</f>
        <v>4.069494670883695</v>
      </c>
      <c r="E4">
        <f>T_All_K1_N10_P70[[#This Row],[3]]</f>
        <v>8.2720738456983085</v>
      </c>
      <c r="F4">
        <f>T_All_K1_N10_P70[[#This Row],[4]]</f>
        <v>9.9087660229244712</v>
      </c>
      <c r="G4">
        <f>T_All_K1_N10_P70[[#This Row],[5]]</f>
        <v>5.3814303747384118</v>
      </c>
      <c r="H4">
        <f>T_All_K1_N10_P70[[#This Row],[6]]</f>
        <v>5.4571454270268598</v>
      </c>
      <c r="I4">
        <f>T_All_K1_N10_P70[[#This Row],[7]]</f>
        <v>6.1827789034099165</v>
      </c>
      <c r="J4">
        <f>T_All_K1_N10_P70[[#This Row],[8]]</f>
        <v>9.9925743088332872</v>
      </c>
      <c r="L4" s="3">
        <f t="shared" si="0"/>
        <v>0.45722477021515873</v>
      </c>
    </row>
    <row r="5" spans="1:12" x14ac:dyDescent="0.25">
      <c r="A5" t="str">
        <f>T_All_K1_N10_P70[[#This Row],[Identifier]]</f>
        <v>aa334bc0536b3ecc8982fa5614d408a069aa9a40c74bac7d5d10760669ec4a3e</v>
      </c>
      <c r="B5">
        <f>T_All_K1_N10_P70[[#This Row],[0]]</f>
        <v>8.545174941515608</v>
      </c>
      <c r="C5">
        <f>T_All_K1_N10_P70[[#This Row],[1]]</f>
        <v>7.8133241855980042</v>
      </c>
      <c r="D5">
        <f>T_All_K1_N10_P70[[#This Row],[2]]</f>
        <v>15.133806990278854</v>
      </c>
      <c r="E5">
        <f>T_All_K1_N10_P70[[#This Row],[3]]</f>
        <v>12.492752288879077</v>
      </c>
      <c r="F5">
        <f>T_All_K1_N10_P70[[#This Row],[4]]</f>
        <v>5.0843238422646309</v>
      </c>
      <c r="G5">
        <f>T_All_K1_N10_P70[[#This Row],[5]]</f>
        <v>14.313418533798473</v>
      </c>
      <c r="H5">
        <f>T_All_K1_N10_P70[[#This Row],[6]]</f>
        <v>10.800916012912332</v>
      </c>
      <c r="I5">
        <f>T_All_K1_N10_P70[[#This Row],[7]]</f>
        <v>17.277122417262834</v>
      </c>
      <c r="J5">
        <f>T_All_K1_N10_P70[[#This Row],[8]]</f>
        <v>19.748283112754095</v>
      </c>
      <c r="L5" s="3">
        <f t="shared" si="0"/>
        <v>0.40573790469433363</v>
      </c>
    </row>
    <row r="6" spans="1:12" x14ac:dyDescent="0.25">
      <c r="A6" t="str">
        <f>T_All_K1_N10_P70[[#This Row],[Identifier]]</f>
        <v>397af47fa05151988668f581136222542b3bd922f76812992821edefe2ef5602</v>
      </c>
      <c r="B6">
        <f>T_All_K1_N10_P70[[#This Row],[0]]</f>
        <v>4.4495521890803369</v>
      </c>
      <c r="C6">
        <f>T_All_K1_N10_P70[[#This Row],[1]]</f>
        <v>4.5897965513320322</v>
      </c>
      <c r="D6">
        <f>T_All_K1_N10_P70[[#This Row],[2]]</f>
        <v>11.294422138655179</v>
      </c>
      <c r="E6">
        <f>T_All_K1_N10_P70[[#This Row],[3]]</f>
        <v>12.051382459407817</v>
      </c>
      <c r="F6">
        <f>T_All_K1_N10_P70[[#This Row],[4]]</f>
        <v>6.9531951677788451</v>
      </c>
      <c r="G6">
        <f>T_All_K1_N10_P70[[#This Row],[5]]</f>
        <v>2.982594494347707</v>
      </c>
      <c r="H6">
        <f>T_All_K1_N10_P70[[#This Row],[6]]</f>
        <v>5.3746489080788429</v>
      </c>
      <c r="I6">
        <f>T_All_K1_N10_P70[[#This Row],[7]]</f>
        <v>9.7118402447609977</v>
      </c>
      <c r="J6">
        <f>T_All_K1_N10_P70[[#This Row],[8]]</f>
        <v>6.0864684233911071</v>
      </c>
      <c r="L6" s="3">
        <f t="shared" si="0"/>
        <v>2.0247226211585412E-4</v>
      </c>
    </row>
    <row r="7" spans="1:12" x14ac:dyDescent="0.25">
      <c r="A7" t="e">
        <f>T_All_K1_N10_P70[[#This Row],[Identifier]]</f>
        <v>#VALUE!</v>
      </c>
      <c r="B7" t="e">
        <f>T_All_K1_N10_P70[[#This Row],[0]]</f>
        <v>#VALUE!</v>
      </c>
      <c r="C7" t="e">
        <f>T_All_K1_N10_P70[[#This Row],[1]]</f>
        <v>#VALUE!</v>
      </c>
      <c r="D7" t="e">
        <f>T_All_K1_N10_P70[[#This Row],[2]]</f>
        <v>#VALUE!</v>
      </c>
      <c r="E7" t="e">
        <f>T_All_K1_N10_P70[[#This Row],[3]]</f>
        <v>#VALUE!</v>
      </c>
      <c r="F7" t="e">
        <f>T_All_K1_N10_P70[[#This Row],[4]]</f>
        <v>#VALUE!</v>
      </c>
      <c r="G7" t="e">
        <f>T_All_K1_N10_P70[[#This Row],[5]]</f>
        <v>#VALUE!</v>
      </c>
      <c r="H7" t="e">
        <f>T_All_K1_N10_P70[[#This Row],[6]]</f>
        <v>#VALUE!</v>
      </c>
      <c r="I7" t="e">
        <f>T_All_K1_N10_P70[[#This Row],[7]]</f>
        <v>#VALUE!</v>
      </c>
      <c r="J7" t="e">
        <f>T_All_K1_N10_P70[[#This Row],[8]]</f>
        <v>#VALUE!</v>
      </c>
      <c r="L7" s="3" t="e">
        <f t="shared" si="0"/>
        <v>#VALUE!</v>
      </c>
    </row>
    <row r="8" spans="1:12" x14ac:dyDescent="0.25">
      <c r="A8" t="e">
        <f>T_All_K1_N10_P70[[#This Row],[Identifier]]</f>
        <v>#VALUE!</v>
      </c>
      <c r="B8" t="e">
        <f>T_All_K1_N10_P70[[#This Row],[0]]</f>
        <v>#VALUE!</v>
      </c>
      <c r="C8" t="e">
        <f>T_All_K1_N10_P70[[#This Row],[1]]</f>
        <v>#VALUE!</v>
      </c>
      <c r="D8" t="e">
        <f>T_All_K1_N10_P70[[#This Row],[2]]</f>
        <v>#VALUE!</v>
      </c>
      <c r="E8" t="e">
        <f>T_All_K1_N10_P70[[#This Row],[3]]</f>
        <v>#VALUE!</v>
      </c>
      <c r="F8" t="e">
        <f>T_All_K1_N10_P70[[#This Row],[4]]</f>
        <v>#VALUE!</v>
      </c>
      <c r="G8" t="e">
        <f>T_All_K1_N10_P70[[#This Row],[5]]</f>
        <v>#VALUE!</v>
      </c>
      <c r="H8" t="e">
        <f>T_All_K1_N10_P70[[#This Row],[6]]</f>
        <v>#VALUE!</v>
      </c>
      <c r="I8" t="e">
        <f>T_All_K1_N10_P70[[#This Row],[7]]</f>
        <v>#VALUE!</v>
      </c>
      <c r="J8" t="e">
        <f>T_All_K1_N10_P70[[#This Row],[8]]</f>
        <v>#VALUE!</v>
      </c>
      <c r="L8" s="3" t="e">
        <f t="shared" si="0"/>
        <v>#VALUE!</v>
      </c>
    </row>
    <row r="9" spans="1:12" x14ac:dyDescent="0.25">
      <c r="A9" t="e">
        <f>T_All_K1_N10_P70[[#This Row],[Identifier]]</f>
        <v>#VALUE!</v>
      </c>
      <c r="B9" t="e">
        <f>T_All_K1_N10_P70[[#This Row],[0]]</f>
        <v>#VALUE!</v>
      </c>
      <c r="C9" t="e">
        <f>T_All_K1_N10_P70[[#This Row],[1]]</f>
        <v>#VALUE!</v>
      </c>
      <c r="D9" t="e">
        <f>T_All_K1_N10_P70[[#This Row],[2]]</f>
        <v>#VALUE!</v>
      </c>
      <c r="E9" t="e">
        <f>T_All_K1_N10_P70[[#This Row],[3]]</f>
        <v>#VALUE!</v>
      </c>
      <c r="F9" t="e">
        <f>T_All_K1_N10_P70[[#This Row],[4]]</f>
        <v>#VALUE!</v>
      </c>
      <c r="G9" t="e">
        <f>T_All_K1_N10_P70[[#This Row],[5]]</f>
        <v>#VALUE!</v>
      </c>
      <c r="H9" t="e">
        <f>T_All_K1_N10_P70[[#This Row],[6]]</f>
        <v>#VALUE!</v>
      </c>
      <c r="I9" t="e">
        <f>T_All_K1_N10_P70[[#This Row],[7]]</f>
        <v>#VALUE!</v>
      </c>
      <c r="J9" t="e">
        <f>T_All_K1_N10_P70[[#This Row],[8]]</f>
        <v>#VALUE!</v>
      </c>
      <c r="L9" s="3" t="e">
        <f t="shared" si="0"/>
        <v>#VALUE!</v>
      </c>
    </row>
    <row r="10" spans="1:12" x14ac:dyDescent="0.25">
      <c r="A10" t="e">
        <f>T_All_K1_N10_P70[[#This Row],[Identifier]]</f>
        <v>#VALUE!</v>
      </c>
      <c r="B10" t="e">
        <f>T_All_K1_N10_P70[[#This Row],[0]]</f>
        <v>#VALUE!</v>
      </c>
      <c r="C10" t="e">
        <f>T_All_K1_N10_P70[[#This Row],[1]]</f>
        <v>#VALUE!</v>
      </c>
      <c r="D10" t="e">
        <f>T_All_K1_N10_P70[[#This Row],[2]]</f>
        <v>#VALUE!</v>
      </c>
      <c r="E10" t="e">
        <f>T_All_K1_N10_P70[[#This Row],[3]]</f>
        <v>#VALUE!</v>
      </c>
      <c r="F10" t="e">
        <f>T_All_K1_N10_P70[[#This Row],[4]]</f>
        <v>#VALUE!</v>
      </c>
      <c r="G10" t="e">
        <f>T_All_K1_N10_P70[[#This Row],[5]]</f>
        <v>#VALUE!</v>
      </c>
      <c r="H10" t="e">
        <f>T_All_K1_N10_P70[[#This Row],[6]]</f>
        <v>#VALUE!</v>
      </c>
      <c r="I10" t="e">
        <f>T_All_K1_N10_P70[[#This Row],[7]]</f>
        <v>#VALUE!</v>
      </c>
      <c r="J10" t="e">
        <f>T_All_K1_N10_P70[[#This Row],[8]]</f>
        <v>#VALUE!</v>
      </c>
      <c r="L10" s="3" t="e">
        <f t="shared" si="0"/>
        <v>#VALUE!</v>
      </c>
    </row>
    <row r="11" spans="1:12" x14ac:dyDescent="0.25">
      <c r="A11" t="e">
        <f>T_All_K1_N10_P70[[#This Row],[Identifier]]</f>
        <v>#VALUE!</v>
      </c>
      <c r="B11" t="e">
        <f>T_All_K1_N10_P70[[#This Row],[0]]</f>
        <v>#VALUE!</v>
      </c>
      <c r="C11" t="e">
        <f>T_All_K1_N10_P70[[#This Row],[1]]</f>
        <v>#VALUE!</v>
      </c>
      <c r="D11" t="e">
        <f>T_All_K1_N10_P70[[#This Row],[2]]</f>
        <v>#VALUE!</v>
      </c>
      <c r="E11" t="e">
        <f>T_All_K1_N10_P70[[#This Row],[3]]</f>
        <v>#VALUE!</v>
      </c>
      <c r="F11" t="e">
        <f>T_All_K1_N10_P70[[#This Row],[4]]</f>
        <v>#VALUE!</v>
      </c>
      <c r="G11" t="e">
        <f>T_All_K1_N10_P70[[#This Row],[5]]</f>
        <v>#VALUE!</v>
      </c>
      <c r="H11" t="e">
        <f>T_All_K1_N10_P70[[#This Row],[6]]</f>
        <v>#VALUE!</v>
      </c>
      <c r="I11" t="e">
        <f>T_All_K1_N10_P70[[#This Row],[7]]</f>
        <v>#VALUE!</v>
      </c>
      <c r="J11" t="e">
        <f>T_All_K1_N10_P70[[#This Row],[8]]</f>
        <v>#VALUE!</v>
      </c>
      <c r="L11" s="3" t="e">
        <f t="shared" si="0"/>
        <v>#VALUE!</v>
      </c>
    </row>
    <row r="14" spans="1:12" x14ac:dyDescent="0.25">
      <c r="K14" s="2" t="s">
        <v>13</v>
      </c>
      <c r="L14" s="3" t="e">
        <f>AVERAGE(L2:L11)</f>
        <v>#VALUE!</v>
      </c>
    </row>
    <row r="15" spans="1:12" x14ac:dyDescent="0.25">
      <c r="L15" s="3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14</v>
      </c>
    </row>
    <row r="18" spans="1:12" x14ac:dyDescent="0.25">
      <c r="A18" s="6" t="s">
        <v>15</v>
      </c>
      <c r="B18" s="5" t="e">
        <f>AVERAGE(B2:B11)</f>
        <v>#VALUE!</v>
      </c>
      <c r="C18" s="5" t="e">
        <f t="shared" ref="C18:J18" si="1">AVERAGE(C2:C11)</f>
        <v>#VALUE!</v>
      </c>
      <c r="D18" s="5" t="e">
        <f t="shared" si="1"/>
        <v>#VALUE!</v>
      </c>
      <c r="E18" s="5" t="e">
        <f t="shared" si="1"/>
        <v>#VALUE!</v>
      </c>
      <c r="F18" s="5" t="e">
        <f t="shared" si="1"/>
        <v>#VALUE!</v>
      </c>
      <c r="G18" s="5" t="e">
        <f t="shared" si="1"/>
        <v>#VALUE!</v>
      </c>
      <c r="H18" s="5" t="e">
        <f t="shared" si="1"/>
        <v>#VALUE!</v>
      </c>
      <c r="I18" s="5" t="e">
        <f t="shared" si="1"/>
        <v>#VALUE!</v>
      </c>
      <c r="J18" s="5" t="e">
        <f t="shared" si="1"/>
        <v>#VALUE!</v>
      </c>
      <c r="K18" s="5"/>
      <c r="L18" s="5" t="e">
        <f>RSQ(B1:J1,B18:J18)</f>
        <v>#VALUE!</v>
      </c>
    </row>
  </sheetData>
  <conditionalFormatting sqref="L1:L1048576">
    <cfRule type="containsBlanks" dxfId="8" priority="1">
      <formula>LEN(TRIM(L1))=0</formula>
    </cfRule>
    <cfRule type="cellIs" dxfId="7" priority="2" operator="between">
      <formula>0</formula>
      <formula>0.1</formula>
    </cfRule>
    <cfRule type="cellIs" dxfId="6" priority="3" operator="greaterThan">
      <formula>0.2</formula>
    </cfRule>
    <cfRule type="cellIs" dxfId="5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L18"/>
  <sheetViews>
    <sheetView tabSelected="1" zoomScaleNormal="100" workbookViewId="0">
      <selection activeCell="K26" sqref="K26"/>
    </sheetView>
  </sheetViews>
  <sheetFormatPr defaultRowHeight="15" x14ac:dyDescent="0.25"/>
  <cols>
    <col min="1" max="1" width="67.5703125" bestFit="1" customWidth="1"/>
    <col min="2" max="2" width="9.5703125" bestFit="1" customWidth="1"/>
    <col min="11" max="11" width="17.5703125" customWidth="1"/>
  </cols>
  <sheetData>
    <row r="1" spans="1:12" x14ac:dyDescent="0.25">
      <c r="A1" s="2" t="s">
        <v>16</v>
      </c>
      <c r="B1" s="2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K1" s="2" t="s">
        <v>28</v>
      </c>
      <c r="L1" s="2" t="s">
        <v>26</v>
      </c>
    </row>
    <row r="2" spans="1:12" x14ac:dyDescent="0.25">
      <c r="A2" t="str">
        <f>T_All_K1_N10_P70[[#This Row],[Identifier]]</f>
        <v>4a714a8520a1dd8243f6528cbce6f5f283dd902700b014b9ec0c936fe91d1bb4</v>
      </c>
      <c r="B2">
        <f>(T_All_K1_N10_P70[[#This Row],[1]]-T_All_K1_N10_P70[[#This Row],[0]])/(ABS(T_All_K1_N10_P70[[#This Row],[0]]))</f>
        <v>2.001679379098259E-2</v>
      </c>
      <c r="C2">
        <f>(T_All_K1_N10_P70[[#This Row],[2]]-T_All_K1_N10_P70[[#This Row],[1]])/(ABS(T_All_K1_N10_P70[[#This Row],[1]]))</f>
        <v>-0.69425473622047063</v>
      </c>
      <c r="D2">
        <f>(T_All_K1_N10_P70[[#This Row],[3]]-T_All_K1_N10_P70[[#This Row],[2]])/(ABS(T_All_K1_N10_P70[[#This Row],[2]]))</f>
        <v>1.2683701695051492</v>
      </c>
      <c r="E2">
        <f>(T_All_K1_N10_P70[[#This Row],[4]]-T_All_K1_N10_P70[[#This Row],[3]])/(ABS(T_All_K1_N10_P70[[#This Row],[3]]))</f>
        <v>1.1540121041457594</v>
      </c>
      <c r="F2">
        <f>(T_All_K1_N10_P70[[#This Row],[5]]-T_All_K1_N10_P70[[#This Row],[4]])/(ABS(T_All_K1_N10_P70[[#This Row],[4]]))</f>
        <v>0.41805844117374019</v>
      </c>
      <c r="G2">
        <f>(T_All_K1_N10_P70[[#This Row],[6]]-T_All_K1_N10_P70[[#This Row],[5]])/(ABS(T_All_K1_N10_P70[[#This Row],[5]]))</f>
        <v>-0.65703905494688986</v>
      </c>
      <c r="H2">
        <f>(T_All_K1_N10_P70[[#This Row],[7]]-T_All_K1_N10_P70[[#This Row],[6]])/(ABS(T_All_K1_N10_P70[[#This Row],[6]]))</f>
        <v>2.2482259451188802</v>
      </c>
      <c r="I2">
        <f>(T_All_K1_N10_P70[[#This Row],[8]]-T_All_K1_N10_P70[[#This Row],[7]])/(ABS(T_All_K1_N10_P70[[#This Row],[7]]))</f>
        <v>7.2109903154770602E-2</v>
      </c>
      <c r="K2">
        <f>AVERAGE(B2:I2)</f>
        <v>0.47868744571524025</v>
      </c>
      <c r="L2">
        <f>(T_All_K1_N10_P70[[#This Row],[8]]-T_All_K1_N10_P70[[#This Row],[0]])/ABS(T_All_K1_N10_P70[[#This Row],[0]])</f>
        <v>1.5807947252507759</v>
      </c>
    </row>
    <row r="3" spans="1:12" x14ac:dyDescent="0.25">
      <c r="A3" t="str">
        <f>T_All_K1_N10_P70[[#This Row],[Identifier]]</f>
        <v>33182f68a3f46948d54d2b810f3d8722e04ded392aaecbcf9bd1729c375ef4f6</v>
      </c>
      <c r="B3">
        <f>(T_All_K1_N10_P70[[#This Row],[1]]-T_All_K1_N10_P70[[#This Row],[0]])/(ABS(T_All_K1_N10_P70[[#This Row],[0]]))</f>
        <v>-0.14534321291490959</v>
      </c>
      <c r="C3">
        <f>(T_All_K1_N10_P70[[#This Row],[2]]-T_All_K1_N10_P70[[#This Row],[1]])/(ABS(T_All_K1_N10_P70[[#This Row],[1]]))</f>
        <v>0.41318991317941689</v>
      </c>
      <c r="D3">
        <f>(T_All_K1_N10_P70[[#This Row],[3]]-T_All_K1_N10_P70[[#This Row],[2]])/(ABS(T_All_K1_N10_P70[[#This Row],[2]]))</f>
        <v>-0.23814639884532998</v>
      </c>
      <c r="E3">
        <f>(T_All_K1_N10_P70[[#This Row],[4]]-T_All_K1_N10_P70[[#This Row],[3]])/(ABS(T_All_K1_N10_P70[[#This Row],[3]]))</f>
        <v>0.35469256981361363</v>
      </c>
      <c r="F3">
        <f>(T_All_K1_N10_P70[[#This Row],[5]]-T_All_K1_N10_P70[[#This Row],[4]])/(ABS(T_All_K1_N10_P70[[#This Row],[4]]))</f>
        <v>0.21455116760933055</v>
      </c>
      <c r="G3">
        <f>(T_All_K1_N10_P70[[#This Row],[6]]-T_All_K1_N10_P70[[#This Row],[5]])/(ABS(T_All_K1_N10_P70[[#This Row],[5]]))</f>
        <v>-0.34095005272171014</v>
      </c>
      <c r="H3">
        <f>(T_All_K1_N10_P70[[#This Row],[7]]-T_All_K1_N10_P70[[#This Row],[6]])/(ABS(T_All_K1_N10_P70[[#This Row],[6]]))</f>
        <v>-0.28293862624498928</v>
      </c>
      <c r="I3">
        <f>(T_All_K1_N10_P70[[#This Row],[8]]-T_All_K1_N10_P70[[#This Row],[7]])/(ABS(T_All_K1_N10_P70[[#This Row],[7]]))</f>
        <v>-8.880097277000458E-2</v>
      </c>
      <c r="K3">
        <f t="shared" ref="K3:K10" si="0">AVERAGE(B3:I3)</f>
        <v>-1.4218201611822806E-2</v>
      </c>
      <c r="L3">
        <f>(T_All_K1_N10_P70[[#This Row],[8]]-T_All_K1_N10_P70[[#This Row],[0]])/ABS(T_All_K1_N10_P70[[#This Row],[0]])</f>
        <v>-0.34805903645085645</v>
      </c>
    </row>
    <row r="4" spans="1:12" x14ac:dyDescent="0.25">
      <c r="A4" t="str">
        <f>T_All_K1_N10_P70[[#This Row],[Identifier]]</f>
        <v>84ae1a06a9e3f8fb81e718337a501e8b20f1b53438a9560c28fad0d93efab98a</v>
      </c>
      <c r="B4">
        <f>(T_All_K1_N10_P70[[#This Row],[1]]-T_All_K1_N10_P70[[#This Row],[0]])/(ABS(T_All_K1_N10_P70[[#This Row],[0]]))</f>
        <v>0.53261565254134879</v>
      </c>
      <c r="C4">
        <f>(T_All_K1_N10_P70[[#This Row],[2]]-T_All_K1_N10_P70[[#This Row],[1]])/(ABS(T_All_K1_N10_P70[[#This Row],[1]]))</f>
        <v>0.6659521382583472</v>
      </c>
      <c r="D4">
        <f>(T_All_K1_N10_P70[[#This Row],[3]]-T_All_K1_N10_P70[[#This Row],[2]])/(ABS(T_All_K1_N10_P70[[#This Row],[2]]))</f>
        <v>1.0327029556969587</v>
      </c>
      <c r="E4">
        <f>(T_All_K1_N10_P70[[#This Row],[4]]-T_All_K1_N10_P70[[#This Row],[3]])/(ABS(T_All_K1_N10_P70[[#This Row],[3]]))</f>
        <v>0.19785753944608278</v>
      </c>
      <c r="F4">
        <f>(T_All_K1_N10_P70[[#This Row],[5]]-T_All_K1_N10_P70[[#This Row],[4]])/(ABS(T_All_K1_N10_P70[[#This Row],[4]]))</f>
        <v>-0.45690206406244949</v>
      </c>
      <c r="G4">
        <f>(T_All_K1_N10_P70[[#This Row],[6]]-T_All_K1_N10_P70[[#This Row],[5]])/(ABS(T_All_K1_N10_P70[[#This Row],[5]]))</f>
        <v>1.4069689100479807E-2</v>
      </c>
      <c r="H4">
        <f>(T_All_K1_N10_P70[[#This Row],[7]]-T_All_K1_N10_P70[[#This Row],[6]])/(ABS(T_All_K1_N10_P70[[#This Row],[6]]))</f>
        <v>0.13296942258296998</v>
      </c>
      <c r="I4">
        <f>(T_All_K1_N10_P70[[#This Row],[8]]-T_All_K1_N10_P70[[#This Row],[7]])/(ABS(T_All_K1_N10_P70[[#This Row],[7]]))</f>
        <v>0.61619466989547345</v>
      </c>
      <c r="K4">
        <f t="shared" si="0"/>
        <v>0.34193250043240148</v>
      </c>
      <c r="L4">
        <f>(T_All_K1_N10_P70[[#This Row],[8]]-T_All_K1_N10_P70[[#This Row],[0]])/ABS(T_All_K1_N10_P70[[#This Row],[0]])</f>
        <v>5.2694967178618404</v>
      </c>
    </row>
    <row r="5" spans="1:12" x14ac:dyDescent="0.25">
      <c r="A5" t="str">
        <f>T_All_K1_N10_P70[[#This Row],[Identifier]]</f>
        <v>aa334bc0536b3ecc8982fa5614d408a069aa9a40c74bac7d5d10760669ec4a3e</v>
      </c>
      <c r="B5">
        <f>(T_All_K1_N10_P70[[#This Row],[1]]-T_All_K1_N10_P70[[#This Row],[0]])/(ABS(T_All_K1_N10_P70[[#This Row],[0]]))</f>
        <v>-8.5644912003147319E-2</v>
      </c>
      <c r="C5">
        <f>(T_All_K1_N10_P70[[#This Row],[2]]-T_All_K1_N10_P70[[#This Row],[1]])/(ABS(T_All_K1_N10_P70[[#This Row],[1]]))</f>
        <v>0.93692295760291255</v>
      </c>
      <c r="D5">
        <f>(T_All_K1_N10_P70[[#This Row],[3]]-T_All_K1_N10_P70[[#This Row],[2]])/(ABS(T_All_K1_N10_P70[[#This Row],[2]]))</f>
        <v>-0.17451357104635004</v>
      </c>
      <c r="E5">
        <f>(T_All_K1_N10_P70[[#This Row],[4]]-T_All_K1_N10_P70[[#This Row],[3]])/(ABS(T_All_K1_N10_P70[[#This Row],[3]]))</f>
        <v>-0.59301811764965151</v>
      </c>
      <c r="F5">
        <f>(T_All_K1_N10_P70[[#This Row],[5]]-T_All_K1_N10_P70[[#This Row],[4]])/(ABS(T_All_K1_N10_P70[[#This Row],[4]]))</f>
        <v>1.8152059109246412</v>
      </c>
      <c r="G5">
        <f>(T_All_K1_N10_P70[[#This Row],[6]]-T_All_K1_N10_P70[[#This Row],[5]])/(ABS(T_All_K1_N10_P70[[#This Row],[5]]))</f>
        <v>-0.24539927429579594</v>
      </c>
      <c r="H5">
        <f>(T_All_K1_N10_P70[[#This Row],[7]]-T_All_K1_N10_P70[[#This Row],[6]])/(ABS(T_All_K1_N10_P70[[#This Row],[6]]))</f>
        <v>0.59959788564305994</v>
      </c>
      <c r="I5">
        <f>(T_All_K1_N10_P70[[#This Row],[8]]-T_All_K1_N10_P70[[#This Row],[7]])/(ABS(T_All_K1_N10_P70[[#This Row],[7]]))</f>
        <v>0.14303080315169517</v>
      </c>
      <c r="K5">
        <f t="shared" si="0"/>
        <v>0.29952271029092054</v>
      </c>
      <c r="L5">
        <f>(T_All_K1_N10_P70[[#This Row],[8]]-T_All_K1_N10_P70[[#This Row],[0]])/ABS(T_All_K1_N10_P70[[#This Row],[0]])</f>
        <v>1.3110449169167573</v>
      </c>
    </row>
    <row r="6" spans="1:12" x14ac:dyDescent="0.25">
      <c r="A6" t="str">
        <f>T_All_K1_N10_P70[[#This Row],[Identifier]]</f>
        <v>397af47fa05151988668f581136222542b3bd922f76812992821edefe2ef5602</v>
      </c>
      <c r="B6">
        <f>(T_All_K1_N10_P70[[#This Row],[1]]-T_All_K1_N10_P70[[#This Row],[0]])/(ABS(T_All_K1_N10_P70[[#This Row],[0]]))</f>
        <v>3.151875880810423E-2</v>
      </c>
      <c r="C6">
        <f>(T_All_K1_N10_P70[[#This Row],[2]]-T_All_K1_N10_P70[[#This Row],[1]])/(ABS(T_All_K1_N10_P70[[#This Row],[1]]))</f>
        <v>1.4607674898743295</v>
      </c>
      <c r="D6">
        <f>(T_All_K1_N10_P70[[#This Row],[3]]-T_All_K1_N10_P70[[#This Row],[2]])/(ABS(T_All_K1_N10_P70[[#This Row],[2]]))</f>
        <v>6.7020721508357667E-2</v>
      </c>
      <c r="E6">
        <f>(T_All_K1_N10_P70[[#This Row],[4]]-T_All_K1_N10_P70[[#This Row],[3]])/(ABS(T_All_K1_N10_P70[[#This Row],[3]]))</f>
        <v>-0.42303754849711139</v>
      </c>
      <c r="F6">
        <f>(T_All_K1_N10_P70[[#This Row],[5]]-T_All_K1_N10_P70[[#This Row],[4]])/(ABS(T_All_K1_N10_P70[[#This Row],[4]]))</f>
        <v>-0.5710469183765946</v>
      </c>
      <c r="G6">
        <f>(T_All_K1_N10_P70[[#This Row],[6]]-T_All_K1_N10_P70[[#This Row],[5]])/(ABS(T_All_K1_N10_P70[[#This Row],[5]]))</f>
        <v>0.80200456960015876</v>
      </c>
      <c r="H6">
        <f>(T_All_K1_N10_P70[[#This Row],[7]]-T_All_K1_N10_P70[[#This Row],[6]])/(ABS(T_All_K1_N10_P70[[#This Row],[6]]))</f>
        <v>0.80697202940321455</v>
      </c>
      <c r="I6">
        <f>(T_All_K1_N10_P70[[#This Row],[8]]-T_All_K1_N10_P70[[#This Row],[7]])/(ABS(T_All_K1_N10_P70[[#This Row],[7]]))</f>
        <v>-0.37329401328708828</v>
      </c>
      <c r="K6">
        <f t="shared" si="0"/>
        <v>0.22511313612917128</v>
      </c>
      <c r="L6">
        <f>(T_All_K1_N10_P70[[#This Row],[8]]-T_All_K1_N10_P70[[#This Row],[0]])/ABS(T_All_K1_N10_P70[[#This Row],[0]])</f>
        <v>0.36788336550539458</v>
      </c>
    </row>
    <row r="7" spans="1:12" x14ac:dyDescent="0.25">
      <c r="A7" t="e">
        <f>T_All_K1_N10_P70[[#This Row],[Identifier]]</f>
        <v>#VALUE!</v>
      </c>
      <c r="B7" t="e">
        <f>(T_All_K1_N10_P70[[#This Row],[1]]-T_All_K1_N10_P70[[#This Row],[0]])/(ABS(T_All_K1_N10_P70[[#This Row],[0]]))</f>
        <v>#VALUE!</v>
      </c>
      <c r="C7" t="e">
        <f>(T_All_K1_N10_P70[[#This Row],[2]]-T_All_K1_N10_P70[[#This Row],[1]])/(ABS(T_All_K1_N10_P70[[#This Row],[1]]))</f>
        <v>#VALUE!</v>
      </c>
      <c r="D7" t="e">
        <f>(T_All_K1_N10_P70[[#This Row],[3]]-T_All_K1_N10_P70[[#This Row],[2]])/(ABS(T_All_K1_N10_P70[[#This Row],[2]]))</f>
        <v>#VALUE!</v>
      </c>
      <c r="E7" t="e">
        <f>(T_All_K1_N10_P70[[#This Row],[4]]-T_All_K1_N10_P70[[#This Row],[3]])/(ABS(T_All_K1_N10_P70[[#This Row],[3]]))</f>
        <v>#VALUE!</v>
      </c>
      <c r="F7" t="e">
        <f>(T_All_K1_N10_P70[[#This Row],[5]]-T_All_K1_N10_P70[[#This Row],[4]])/(ABS(T_All_K1_N10_P70[[#This Row],[4]]))</f>
        <v>#VALUE!</v>
      </c>
      <c r="G7" t="e">
        <f>(T_All_K1_N10_P70[[#This Row],[6]]-T_All_K1_N10_P70[[#This Row],[5]])/(ABS(T_All_K1_N10_P70[[#This Row],[5]]))</f>
        <v>#VALUE!</v>
      </c>
      <c r="H7" t="e">
        <f>(T_All_K1_N10_P70[[#This Row],[7]]-T_All_K1_N10_P70[[#This Row],[6]])/(ABS(T_All_K1_N10_P70[[#This Row],[6]]))</f>
        <v>#VALUE!</v>
      </c>
      <c r="I7" t="e">
        <f>(T_All_K1_N10_P70[[#This Row],[8]]-T_All_K1_N10_P70[[#This Row],[7]])/(ABS(T_All_K1_N10_P70[[#This Row],[7]]))</f>
        <v>#VALUE!</v>
      </c>
      <c r="K7" t="e">
        <f t="shared" si="0"/>
        <v>#VALUE!</v>
      </c>
      <c r="L7" t="e">
        <f>(T_All_K1_N10_P70[[#This Row],[8]]-T_All_K1_N10_P70[[#This Row],[0]])/ABS(T_All_K1_N10_P70[[#This Row],[0]])</f>
        <v>#VALUE!</v>
      </c>
    </row>
    <row r="8" spans="1:12" x14ac:dyDescent="0.25">
      <c r="A8" t="e">
        <f>T_All_K1_N10_P70[[#This Row],[Identifier]]</f>
        <v>#VALUE!</v>
      </c>
      <c r="B8" t="e">
        <f>(T_All_K1_N10_P70[[#This Row],[1]]-T_All_K1_N10_P70[[#This Row],[0]])/(ABS(T_All_K1_N10_P70[[#This Row],[0]]))</f>
        <v>#VALUE!</v>
      </c>
      <c r="C8" t="e">
        <f>(T_All_K1_N10_P70[[#This Row],[2]]-T_All_K1_N10_P70[[#This Row],[1]])/(ABS(T_All_K1_N10_P70[[#This Row],[1]]))</f>
        <v>#VALUE!</v>
      </c>
      <c r="D8" t="e">
        <f>(T_All_K1_N10_P70[[#This Row],[3]]-T_All_K1_N10_P70[[#This Row],[2]])/(ABS(T_All_K1_N10_P70[[#This Row],[2]]))</f>
        <v>#VALUE!</v>
      </c>
      <c r="E8" t="e">
        <f>(T_All_K1_N10_P70[[#This Row],[4]]-T_All_K1_N10_P70[[#This Row],[3]])/(ABS(T_All_K1_N10_P70[[#This Row],[3]]))</f>
        <v>#VALUE!</v>
      </c>
      <c r="F8" t="e">
        <f>(T_All_K1_N10_P70[[#This Row],[5]]-T_All_K1_N10_P70[[#This Row],[4]])/(ABS(T_All_K1_N10_P70[[#This Row],[4]]))</f>
        <v>#VALUE!</v>
      </c>
      <c r="G8" t="e">
        <f>(T_All_K1_N10_P70[[#This Row],[6]]-T_All_K1_N10_P70[[#This Row],[5]])/(ABS(T_All_K1_N10_P70[[#This Row],[5]]))</f>
        <v>#VALUE!</v>
      </c>
      <c r="H8" t="e">
        <f>(T_All_K1_N10_P70[[#This Row],[7]]-T_All_K1_N10_P70[[#This Row],[6]])/(ABS(T_All_K1_N10_P70[[#This Row],[6]]))</f>
        <v>#VALUE!</v>
      </c>
      <c r="I8" t="e">
        <f>(T_All_K1_N10_P70[[#This Row],[8]]-T_All_K1_N10_P70[[#This Row],[7]])/(ABS(T_All_K1_N10_P70[[#This Row],[7]]))</f>
        <v>#VALUE!</v>
      </c>
      <c r="K8" t="e">
        <f t="shared" si="0"/>
        <v>#VALUE!</v>
      </c>
      <c r="L8" t="e">
        <f>(T_All_K1_N10_P70[[#This Row],[8]]-T_All_K1_N10_P70[[#This Row],[0]])/ABS(T_All_K1_N10_P70[[#This Row],[0]])</f>
        <v>#VALUE!</v>
      </c>
    </row>
    <row r="9" spans="1:12" x14ac:dyDescent="0.25">
      <c r="A9" t="e">
        <f>T_All_K1_N10_P70[[#This Row],[Identifier]]</f>
        <v>#VALUE!</v>
      </c>
      <c r="B9" t="e">
        <f>(T_All_K1_N10_P70[[#This Row],[1]]-T_All_K1_N10_P70[[#This Row],[0]])/(ABS(T_All_K1_N10_P70[[#This Row],[0]]))</f>
        <v>#VALUE!</v>
      </c>
      <c r="C9" t="e">
        <f>(T_All_K1_N10_P70[[#This Row],[2]]-T_All_K1_N10_P70[[#This Row],[1]])/(ABS(T_All_K1_N10_P70[[#This Row],[1]]))</f>
        <v>#VALUE!</v>
      </c>
      <c r="D9" t="e">
        <f>(T_All_K1_N10_P70[[#This Row],[3]]-T_All_K1_N10_P70[[#This Row],[2]])/(ABS(T_All_K1_N10_P70[[#This Row],[2]]))</f>
        <v>#VALUE!</v>
      </c>
      <c r="E9" t="e">
        <f>(T_All_K1_N10_P70[[#This Row],[4]]-T_All_K1_N10_P70[[#This Row],[3]])/(ABS(T_All_K1_N10_P70[[#This Row],[3]]))</f>
        <v>#VALUE!</v>
      </c>
      <c r="F9" t="e">
        <f>(T_All_K1_N10_P70[[#This Row],[5]]-T_All_K1_N10_P70[[#This Row],[4]])/(ABS(T_All_K1_N10_P70[[#This Row],[4]]))</f>
        <v>#VALUE!</v>
      </c>
      <c r="G9" t="e">
        <f>(T_All_K1_N10_P70[[#This Row],[6]]-T_All_K1_N10_P70[[#This Row],[5]])/(ABS(T_All_K1_N10_P70[[#This Row],[5]]))</f>
        <v>#VALUE!</v>
      </c>
      <c r="H9" t="e">
        <f>(T_All_K1_N10_P70[[#This Row],[7]]-T_All_K1_N10_P70[[#This Row],[6]])/(ABS(T_All_K1_N10_P70[[#This Row],[6]]))</f>
        <v>#VALUE!</v>
      </c>
      <c r="I9" t="e">
        <f>(T_All_K1_N10_P70[[#This Row],[8]]-T_All_K1_N10_P70[[#This Row],[7]])/(ABS(T_All_K1_N10_P70[[#This Row],[7]]))</f>
        <v>#VALUE!</v>
      </c>
      <c r="K9" t="e">
        <f t="shared" si="0"/>
        <v>#VALUE!</v>
      </c>
      <c r="L9" t="e">
        <f>(T_All_K1_N10_P70[[#This Row],[8]]-T_All_K1_N10_P70[[#This Row],[0]])/ABS(T_All_K1_N10_P70[[#This Row],[0]])</f>
        <v>#VALUE!</v>
      </c>
    </row>
    <row r="10" spans="1:12" x14ac:dyDescent="0.25">
      <c r="A10" t="e">
        <f>T_All_K1_N10_P70[[#This Row],[Identifier]]</f>
        <v>#VALUE!</v>
      </c>
      <c r="B10" t="e">
        <f>(T_All_K1_N10_P70[[#This Row],[1]]-T_All_K1_N10_P70[[#This Row],[0]])/(ABS(T_All_K1_N10_P70[[#This Row],[0]]))</f>
        <v>#VALUE!</v>
      </c>
      <c r="C10" t="e">
        <f>(T_All_K1_N10_P70[[#This Row],[2]]-T_All_K1_N10_P70[[#This Row],[1]])/(ABS(T_All_K1_N10_P70[[#This Row],[1]]))</f>
        <v>#VALUE!</v>
      </c>
      <c r="D10" t="e">
        <f>(T_All_K1_N10_P70[[#This Row],[3]]-T_All_K1_N10_P70[[#This Row],[2]])/(ABS(T_All_K1_N10_P70[[#This Row],[2]]))</f>
        <v>#VALUE!</v>
      </c>
      <c r="E10" t="e">
        <f>(T_All_K1_N10_P70[[#This Row],[4]]-T_All_K1_N10_P70[[#This Row],[3]])/(ABS(T_All_K1_N10_P70[[#This Row],[3]]))</f>
        <v>#VALUE!</v>
      </c>
      <c r="F10" t="e">
        <f>(T_All_K1_N10_P70[[#This Row],[5]]-T_All_K1_N10_P70[[#This Row],[4]])/(ABS(T_All_K1_N10_P70[[#This Row],[4]]))</f>
        <v>#VALUE!</v>
      </c>
      <c r="G10" t="e">
        <f>(T_All_K1_N10_P70[[#This Row],[6]]-T_All_K1_N10_P70[[#This Row],[5]])/(ABS(T_All_K1_N10_P70[[#This Row],[5]]))</f>
        <v>#VALUE!</v>
      </c>
      <c r="H10" t="e">
        <f>(T_All_K1_N10_P70[[#This Row],[7]]-T_All_K1_N10_P70[[#This Row],[6]])/(ABS(T_All_K1_N10_P70[[#This Row],[6]]))</f>
        <v>#VALUE!</v>
      </c>
      <c r="I10" t="e">
        <f>(T_All_K1_N10_P70[[#This Row],[8]]-T_All_K1_N10_P70[[#This Row],[7]])/(ABS(T_All_K1_N10_P70[[#This Row],[7]]))</f>
        <v>#VALUE!</v>
      </c>
      <c r="K10" t="e">
        <f t="shared" si="0"/>
        <v>#VALUE!</v>
      </c>
      <c r="L10" t="e">
        <f>(T_All_K1_N10_P70[[#This Row],[8]]-T_All_K1_N10_P70[[#This Row],[0]])/ABS(T_All_K1_N10_P70[[#This Row],[0]])</f>
        <v>#VALUE!</v>
      </c>
    </row>
    <row r="11" spans="1:12" x14ac:dyDescent="0.25">
      <c r="A11" t="e">
        <f>T_All_K1_N10_P70[[#This Row],[Identifier]]</f>
        <v>#VALUE!</v>
      </c>
      <c r="B11" t="e">
        <f>(T_All_K1_N10_P70[[#This Row],[1]]-T_All_K1_N10_P70[[#This Row],[0]])/(ABS(T_All_K1_N10_P70[[#This Row],[0]]))</f>
        <v>#VALUE!</v>
      </c>
      <c r="C11" t="e">
        <f>(T_All_K1_N10_P70[[#This Row],[2]]-T_All_K1_N10_P70[[#This Row],[1]])/(ABS(T_All_K1_N10_P70[[#This Row],[1]]))</f>
        <v>#VALUE!</v>
      </c>
      <c r="D11" t="e">
        <f>(T_All_K1_N10_P70[[#This Row],[3]]-T_All_K1_N10_P70[[#This Row],[2]])/(ABS(T_All_K1_N10_P70[[#This Row],[2]]))</f>
        <v>#VALUE!</v>
      </c>
      <c r="E11" t="e">
        <f>(T_All_K1_N10_P70[[#This Row],[4]]-T_All_K1_N10_P70[[#This Row],[3]])/(ABS(T_All_K1_N10_P70[[#This Row],[3]]))</f>
        <v>#VALUE!</v>
      </c>
      <c r="F11" t="e">
        <f>(T_All_K1_N10_P70[[#This Row],[5]]-T_All_K1_N10_P70[[#This Row],[4]])/(ABS(T_All_K1_N10_P70[[#This Row],[4]]))</f>
        <v>#VALUE!</v>
      </c>
      <c r="G11" t="e">
        <f>(T_All_K1_N10_P70[[#This Row],[6]]-T_All_K1_N10_P70[[#This Row],[5]])/(ABS(T_All_K1_N10_P70[[#This Row],[5]]))</f>
        <v>#VALUE!</v>
      </c>
      <c r="H11" t="e">
        <f>(T_All_K1_N10_P70[[#This Row],[7]]-T_All_K1_N10_P70[[#This Row],[6]])/(ABS(T_All_K1_N10_P70[[#This Row],[6]]))</f>
        <v>#VALUE!</v>
      </c>
      <c r="I11" t="e">
        <f>(T_All_K1_N10_P70[[#This Row],[8]]-T_All_K1_N10_P70[[#This Row],[7]])/(ABS(T_All_K1_N10_P70[[#This Row],[7]]))</f>
        <v>#VALUE!</v>
      </c>
      <c r="K11" t="e">
        <f>AVERAGE(B11:I11)</f>
        <v>#VALUE!</v>
      </c>
      <c r="L11" t="e">
        <f>(T_All_K1_N10_P70[[#This Row],[8]]-T_All_K1_N10_P70[[#This Row],[0]])/ABS(T_All_K1_N10_P70[[#This Row],[0]])</f>
        <v>#VALUE!</v>
      </c>
    </row>
    <row r="14" spans="1:12" x14ac:dyDescent="0.25">
      <c r="J14" s="2" t="s">
        <v>25</v>
      </c>
      <c r="K14" t="e">
        <f>AVERAGE(K2:K11)</f>
        <v>#VALUE!</v>
      </c>
      <c r="L14" t="e">
        <f>AVERAGE(L2:L11)</f>
        <v>#VALUE!</v>
      </c>
    </row>
    <row r="17" spans="1:12" x14ac:dyDescent="0.25">
      <c r="A17" s="5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s">
        <v>22</v>
      </c>
      <c r="H17" s="7" t="s">
        <v>23</v>
      </c>
      <c r="I17" s="7" t="s">
        <v>24</v>
      </c>
      <c r="J17" s="5"/>
      <c r="K17" s="6" t="s">
        <v>25</v>
      </c>
      <c r="L17" s="6" t="s">
        <v>26</v>
      </c>
    </row>
    <row r="18" spans="1:12" x14ac:dyDescent="0.25">
      <c r="A18" s="5" t="s">
        <v>27</v>
      </c>
      <c r="B18" s="5" t="e">
        <f>AVERAGE(B2:B11)</f>
        <v>#VALUE!</v>
      </c>
      <c r="C18" s="5" t="e">
        <f t="shared" ref="C18:I18" si="1">AVERAGE(C2:C11)</f>
        <v>#VALUE!</v>
      </c>
      <c r="D18" s="5" t="e">
        <f t="shared" si="1"/>
        <v>#VALUE!</v>
      </c>
      <c r="E18" s="5" t="e">
        <f t="shared" si="1"/>
        <v>#VALUE!</v>
      </c>
      <c r="F18" s="5" t="e">
        <f t="shared" si="1"/>
        <v>#VALUE!</v>
      </c>
      <c r="G18" s="5" t="e">
        <f t="shared" si="1"/>
        <v>#VALUE!</v>
      </c>
      <c r="H18" s="5" t="e">
        <f t="shared" si="1"/>
        <v>#VALUE!</v>
      </c>
      <c r="I18" s="5" t="e">
        <f t="shared" si="1"/>
        <v>#VALUE!</v>
      </c>
      <c r="J18" s="5"/>
      <c r="K18" s="5" t="e">
        <f>AVERAGE(B18:I18)</f>
        <v>#VALUE!</v>
      </c>
      <c r="L18" s="5" t="e">
        <f>(I18-B18)/(ABS(B18))</f>
        <v>#VALUE!</v>
      </c>
    </row>
  </sheetData>
  <conditionalFormatting sqref="A18:XFD18">
    <cfRule type="cellIs" dxfId="4" priority="1" operator="greaterThan">
      <formula>0</formula>
    </cfRule>
    <cfRule type="cellIs" dxfId="3" priority="2" operator="lessThan">
      <formula>0</formula>
    </cfRule>
  </conditionalFormatting>
  <conditionalFormatting sqref="K26 K27:L1048576 K1:L25">
    <cfRule type="cellIs" dxfId="2" priority="3" operator="lessThan">
      <formula>0</formula>
    </cfRule>
    <cfRule type="cellIs" dxfId="1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1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P70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2025-12-19T03:54:45Z</dcterms:modified>
</cp:coreProperties>
</file>