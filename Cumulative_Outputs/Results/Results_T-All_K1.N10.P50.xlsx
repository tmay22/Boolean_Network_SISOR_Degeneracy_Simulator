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4F750FB6-C2A9-4F57-ADAF-7B46A748F3C8}" xr6:coauthVersionLast="47" xr6:coauthVersionMax="47" xr10:uidLastSave="{00000000-0000-0000-0000-000000000000}"/>
  <bookViews>
    <workbookView xWindow="0" yWindow="0" windowWidth="19200" windowHeight="21000" activeTab="1" xr2:uid="{5CF18307-C3AA-4F8D-B283-B3AED6997DE3}"/>
  </bookViews>
  <sheets>
    <sheet name="T-All_K1 N10 P50" sheetId="8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P50'!$A$1:$L$11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4" i="1"/>
  <c r="K14" i="3"/>
  <c r="L14" i="3"/>
  <c r="L3" i="3"/>
  <c r="L4" i="3"/>
  <c r="L5" i="3"/>
  <c r="L6" i="3"/>
  <c r="L7" i="3"/>
  <c r="L8" i="3"/>
  <c r="L9" i="3"/>
  <c r="L10" i="3"/>
  <c r="L11" i="3"/>
  <c r="L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C2" i="3"/>
  <c r="D2" i="3"/>
  <c r="E2" i="3"/>
  <c r="F2" i="3"/>
  <c r="G2" i="3"/>
  <c r="H2" i="3"/>
  <c r="I2" i="3"/>
  <c r="B2" i="3"/>
  <c r="A3" i="3"/>
  <c r="A4" i="3"/>
  <c r="A5" i="3"/>
  <c r="A6" i="3"/>
  <c r="A7" i="3"/>
  <c r="A8" i="3"/>
  <c r="A9" i="3"/>
  <c r="A10" i="3"/>
  <c r="A11" i="3"/>
  <c r="A2" i="3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B2" i="1"/>
  <c r="C2" i="1"/>
  <c r="D2" i="1"/>
  <c r="E2" i="1"/>
  <c r="F2" i="1"/>
  <c r="G2" i="1"/>
  <c r="H2" i="1"/>
  <c r="I2" i="1"/>
  <c r="J2" i="1"/>
  <c r="A2" i="1"/>
  <c r="K2" i="3" l="1"/>
  <c r="C18" i="3"/>
  <c r="D18" i="3"/>
  <c r="E18" i="3"/>
  <c r="F18" i="3"/>
  <c r="G18" i="3"/>
  <c r="H18" i="3"/>
  <c r="I18" i="3"/>
  <c r="B18" i="3"/>
  <c r="B18" i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L5" i="1"/>
  <c r="L7" i="1"/>
  <c r="K7" i="3"/>
  <c r="K8" i="3"/>
  <c r="L6" i="1"/>
  <c r="K4" i="3"/>
  <c r="K6" i="3"/>
  <c r="K5" i="3"/>
  <c r="L3" i="1"/>
  <c r="L8" i="1"/>
  <c r="L4" i="1"/>
  <c r="K3" i="3"/>
  <c r="L2" i="1"/>
  <c r="L18" i="3" l="1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EC7E03-F641-417E-9CF0-4C0E47572948}" keepAlive="1" name="Query - T-All_K1 N10 P50" description="Connection to the 'T-All_K1 N10 P50' query in the workbook." type="5" refreshedVersion="8" background="1" saveData="1">
    <dbPr connection="Provider=Microsoft.Mashup.OleDb.1;Data Source=$Workbook$;Location=&quot;T-All_K1 N10 P50&quot;;Extended Properties=&quot;&quot;" command="SELECT * FROM [T-All_K1 N10 P5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<sst xmlns="http://schemas.openxmlformats.org/spreadsheetml/2006/main" count="50" uniqueCount="39">
  <si>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</si>
  <si>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</si>
  <si>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</si>
  <si>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</si>
  <si>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</si>
  <si>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</si>
  <si>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</si>
  <si>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</si>
  <si>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</si>
  <si>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</si>
  <si>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</si>
  <si>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</si>
  <si>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</si>
  <si>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</si>
  <si>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</si>
  <si>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</si>
  <si>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</si>
  <si>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</si>
  <si>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</si>
  <si>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</si>
  <si>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</si>
  <si>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</si>
  <si>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</si>
  <si>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</si>
  <si>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</si>
  <si>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</si>
  <si>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</si>
  <si>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</si>
  <si>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</si>
  <si>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5c5880912e8926d6ce85eb4195996ffb794103ca22f16b7c6fa6c951cb215941</t>
  </si>
  <si>
    <t>026160bf894748f66ee965ecd8db7200649227d664cc6d31b43a70243b44b5fe</t>
  </si>
  <si>
    <t>cce23aa32ec66d928814b588598aa21bdf8f0f46d7958bc4f71a3a1d01bef2b1</t>
  </si>
  <si>
    <t>bbdf703c22e90d31aa35253461e5cea06c0d26fade0a5022c37f97468df32c81</t>
  </si>
  <si>
    <t>ce985dbfb0b4cf862efe96b8d305363620a18eb02e3ec174d3b2d8225bbbf0ad</t>
  </si>
  <si>
    <t>386f26769a4d9d10f2f92cc85de34f7fdee1322a1fb05e3913f189b48b3d485b</t>
  </si>
  <si>
    <t>362dfe849a2c0f562a461ac154a99046b78b047e2a279ff463e52e2536813e91</t>
  </si>
  <si>
    <t>ca65ed41bc2220621d705c78c5ed0bb9a19016d582e0d36cf9b5df9911d0bcee</t>
  </si>
  <si>
    <t>990cffa8fe4b77721a0cbd9f86eda4baf4190b367f035c322d688454605140c2</t>
  </si>
  <si>
    <t>0e3ba4c86644219723efff89951e8edf17da51bca7ed8f9bc114e580e6fbf049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</si>
</sst>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6AD2FE-B5A9-4074-8DE3-369735C6E035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C3324-4A0A-41C4-8419-77087645BEC7}" name="T_All_K1_N10_P50" displayName="T_All_K1_N10_P50" ref="A1:L11" tableType="queryTable" totalsRowShown="0">
  <autoFilter ref="A1:L11" xr:uid="{367C3324-4A0A-41C4-8419-77087645BEC7}"/>
  <tableColumns count="12">
    <tableColumn id="1" xr3:uid="{B5A74589-530A-401F-8724-9B0FAC2A6B42}" uniqueName="1" name="Identifier" queryTableFieldId="1" dataDxfId="8"/>
    <tableColumn id="2" xr3:uid="{29D98D0B-56C8-4AC8-84D3-4E05186ADC6D}" uniqueName="2" name="0" queryTableFieldId="2"/>
    <tableColumn id="3" xr3:uid="{D0E6F338-20E0-46E7-BD9D-387571312380}" uniqueName="3" name="1" queryTableFieldId="3"/>
    <tableColumn id="4" xr3:uid="{C622FFA8-71FF-4233-AECB-6C84E9B5D9BA}" uniqueName="4" name="2" queryTableFieldId="4"/>
    <tableColumn id="5" xr3:uid="{7E360621-C3BF-409E-9B7E-CD54FEB201C6}" uniqueName="5" name="3" queryTableFieldId="5"/>
    <tableColumn id="6" xr3:uid="{52BC8A10-61BA-44A7-AEC0-4174C0105E98}" uniqueName="6" name="4" queryTableFieldId="6"/>
    <tableColumn id="7" xr3:uid="{8A576C4B-44FB-40FF-91EF-491D5809548B}" uniqueName="7" name="5" queryTableFieldId="7"/>
    <tableColumn id="8" xr3:uid="{E14F2560-9AD5-4F2B-B671-7F9C0527913B}" uniqueName="8" name="6" queryTableFieldId="8"/>
    <tableColumn id="9" xr3:uid="{8F40BDF7-9B0A-4720-84B8-D7CE2F632E69}" uniqueName="9" name="7" queryTableFieldId="9"/>
    <tableColumn id="10" xr3:uid="{BA5741C8-F796-4FFB-BFC5-6E71EDCBCD21}" uniqueName="10" name="8" queryTableFieldId="10"/>
    <tableColumn id="11" xr3:uid="{BB3A10EC-855B-41E4-932E-47A13462244F}" uniqueName="11" name="9" queryTableFieldId="11"/>
    <tableColumn id="12" xr3:uid="{EA2249B8-D402-483E-9D9B-A6799427F9A8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3C8B-7393-4B8E-856B-D4FB9C78CA88}">
  <dimension ref="A1:L11"/>
  <sheetViews>
    <sheetView workbookViewId="0"/>
  </sheetViews>
  <sheetFormatPr defaultRowHeight="15" x14ac:dyDescent="0.25"/>
  <cols>
    <col min="1" max="1" width="68.140625" bestFit="1" customWidth="1"/>
    <col min="2" max="10" width="12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29</v>
      </c>
      <c r="B2">
        <v>7.981826541834856</v>
      </c>
      <c r="C2">
        <v>7.39995387363542</v>
      </c>
      <c r="D2">
        <v>6.6276243081290325</v>
      </c>
      <c r="E2">
        <v>4.7226581287489058</v>
      </c>
      <c r="F2">
        <v>6.1279865651517289</v>
      </c>
      <c r="G2">
        <v>10.941645275936219</v>
      </c>
      <c r="H2">
        <v>8.8073962686550029</v>
      </c>
      <c r="I2">
        <v>9.4643973155735175</v>
      </c>
      <c r="J2">
        <v>14.626111236075264</v>
      </c>
    </row>
    <row r="3" spans="1:12" x14ac:dyDescent="0.25">
      <c r="A3" s="8" t="s">
        <v>30</v>
      </c>
      <c r="B3">
        <v>6.7009462035187903</v>
      </c>
      <c r="C3">
        <v>10.711540453212665</v>
      </c>
      <c r="D3">
        <v>13.537791505420095</v>
      </c>
      <c r="E3">
        <v>10.08342531330843</v>
      </c>
      <c r="F3">
        <v>6.6153787709408878</v>
      </c>
      <c r="G3">
        <v>13.729560103389263</v>
      </c>
      <c r="H3">
        <v>9.4222300339508482</v>
      </c>
      <c r="I3">
        <v>7.7453960337522245</v>
      </c>
      <c r="J3">
        <v>7.9839098406219069</v>
      </c>
    </row>
    <row r="4" spans="1:12" x14ac:dyDescent="0.25">
      <c r="A4" s="8" t="s">
        <v>31</v>
      </c>
      <c r="B4">
        <v>10.852737374181054</v>
      </c>
      <c r="C4">
        <v>5.6070262703079354</v>
      </c>
      <c r="D4">
        <v>12.594338882765497</v>
      </c>
      <c r="E4">
        <v>16.534416896186755</v>
      </c>
      <c r="F4">
        <v>12.920515193690036</v>
      </c>
      <c r="G4">
        <v>13.649658688533226</v>
      </c>
      <c r="H4">
        <v>14.87817731364267</v>
      </c>
      <c r="I4">
        <v>15.521481729815116</v>
      </c>
      <c r="J4">
        <v>28.176007038546764</v>
      </c>
    </row>
    <row r="5" spans="1:12" x14ac:dyDescent="0.25">
      <c r="A5" s="8" t="s">
        <v>32</v>
      </c>
      <c r="B5">
        <v>2.5070260300507945</v>
      </c>
      <c r="C5">
        <v>0.37220931145891811</v>
      </c>
      <c r="D5">
        <v>2.022442320736388</v>
      </c>
      <c r="E5">
        <v>5.7827090799561098</v>
      </c>
      <c r="F5">
        <v>2.0263245239496186</v>
      </c>
      <c r="G5">
        <v>5.7297852103987941</v>
      </c>
      <c r="H5">
        <v>1.5460544095988569</v>
      </c>
      <c r="I5">
        <v>3.6512393417814075</v>
      </c>
      <c r="J5">
        <v>5.9522391852299252</v>
      </c>
    </row>
    <row r="6" spans="1:12" x14ac:dyDescent="0.25">
      <c r="A6" s="8" t="s">
        <v>33</v>
      </c>
      <c r="B6">
        <v>5.0600346106591845</v>
      </c>
      <c r="C6">
        <v>10.703537874556757</v>
      </c>
      <c r="D6">
        <v>5.8107685499358945</v>
      </c>
      <c r="E6">
        <v>8.2729010222122739</v>
      </c>
      <c r="F6">
        <v>9.9180888782626848</v>
      </c>
      <c r="G6">
        <v>9.2252658987023963</v>
      </c>
      <c r="H6">
        <v>10.429233257616152</v>
      </c>
      <c r="I6">
        <v>11.155184327672039</v>
      </c>
      <c r="J6">
        <v>9.4920428827174241</v>
      </c>
    </row>
    <row r="7" spans="1:12" x14ac:dyDescent="0.25">
      <c r="A7" s="8" t="s">
        <v>34</v>
      </c>
      <c r="B7">
        <v>9.84643498365336</v>
      </c>
      <c r="C7">
        <v>8.0872667161331169</v>
      </c>
      <c r="D7">
        <v>9.3922586723158261</v>
      </c>
      <c r="E7">
        <v>10.088236063291628</v>
      </c>
      <c r="F7">
        <v>13.194644259584932</v>
      </c>
      <c r="G7">
        <v>13.08881775818114</v>
      </c>
      <c r="H7">
        <v>15.424582417086434</v>
      </c>
      <c r="I7">
        <v>17.315848460318534</v>
      </c>
      <c r="J7">
        <v>26.725458921497975</v>
      </c>
    </row>
    <row r="8" spans="1:12" x14ac:dyDescent="0.25">
      <c r="A8" s="8" t="s">
        <v>35</v>
      </c>
      <c r="B8">
        <v>10.360605485230742</v>
      </c>
      <c r="C8">
        <v>5.1031376957180479</v>
      </c>
      <c r="D8">
        <v>8.7613882237996847</v>
      </c>
      <c r="E8">
        <v>5.0210274511844419</v>
      </c>
      <c r="F8">
        <v>14.219010134367505</v>
      </c>
      <c r="G8">
        <v>15.709341137669227</v>
      </c>
      <c r="H8">
        <v>8.5896416193159073</v>
      </c>
      <c r="I8">
        <v>16.590837804264289</v>
      </c>
      <c r="J8">
        <v>9.5505458745107923</v>
      </c>
    </row>
    <row r="9" spans="1:12" x14ac:dyDescent="0.25">
      <c r="A9" s="8" t="s">
        <v>36</v>
      </c>
      <c r="B9">
        <v>4.2073531746031758</v>
      </c>
      <c r="C9">
        <v>5.3300515873015888</v>
      </c>
      <c r="D9">
        <v>8.3496476339413324</v>
      </c>
      <c r="E9">
        <v>5.9084317754293059</v>
      </c>
      <c r="F9">
        <v>6.9116675545125679</v>
      </c>
      <c r="G9">
        <v>7.4570062631772478</v>
      </c>
      <c r="H9">
        <v>10.683043944506277</v>
      </c>
      <c r="I9">
        <v>9.5681972968936648</v>
      </c>
      <c r="J9">
        <v>10.599925898534815</v>
      </c>
    </row>
    <row r="10" spans="1:12" x14ac:dyDescent="0.25">
      <c r="A10" s="8" t="s">
        <v>37</v>
      </c>
      <c r="B10">
        <v>6.3457346135064414</v>
      </c>
      <c r="C10">
        <v>7.2225682978442762</v>
      </c>
      <c r="D10">
        <v>5.5705645243245439</v>
      </c>
      <c r="E10">
        <v>5.3651423659364239</v>
      </c>
      <c r="F10">
        <v>5.3426477107467072</v>
      </c>
      <c r="G10">
        <v>6.7544018778733257</v>
      </c>
      <c r="H10">
        <v>8.011903846421637</v>
      </c>
      <c r="I10">
        <v>1.9734279456017974</v>
      </c>
      <c r="J10">
        <v>2.8852612114382468</v>
      </c>
    </row>
    <row r="11" spans="1:12" x14ac:dyDescent="0.25">
      <c r="A11" s="8" t="s">
        <v>38</v>
      </c>
      <c r="B11">
        <v>2.5817964463493333</v>
      </c>
      <c r="C11">
        <v>4.4704997635549777</v>
      </c>
      <c r="D11">
        <v>4.7465840187294619</v>
      </c>
      <c r="E11">
        <v>7.6875553266188659</v>
      </c>
      <c r="F11">
        <v>7.8184841557783384</v>
      </c>
      <c r="G11">
        <v>8.9062641539728613</v>
      </c>
      <c r="H11">
        <v>11.277653125111856</v>
      </c>
      <c r="I11">
        <v>10.876997317260296</v>
      </c>
      <c r="J11">
        <v>12.096813285693248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M18"/>
  <sheetViews>
    <sheetView tabSelected="1" zoomScale="85" zoomScaleNormal="85" workbookViewId="0">
      <selection activeCell="M11" sqref="M11"/>
    </sheetView>
  </sheetViews>
  <sheetFormatPr defaultRowHeight="15" x14ac:dyDescent="0.25"/>
  <cols>
    <col min="1" max="1" width="71.28515625" bestFit="1" customWidth="1"/>
  </cols>
  <sheetData>
    <row r="1" spans="1:13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3" x14ac:dyDescent="0.25">
      <c r="A2" t="str">
        <f>T_All_K1_N10_P50[[#This Row],[Identifier]]</f>
        <v>5c5880912e8926d6ce85eb4195996ffb794103ca22f16b7c6fa6c951cb215941</v>
      </c>
      <c r="B2">
        <f>T_All_K1_N10_P50[[#This Row],[0]]</f>
        <v>7.981826541834856</v>
      </c>
      <c r="C2">
        <f>T_All_K1_N10_P50[[#This Row],[1]]</f>
        <v>7.39995387363542</v>
      </c>
      <c r="D2">
        <f>T_All_K1_N10_P50[[#This Row],[2]]</f>
        <v>6.6276243081290325</v>
      </c>
      <c r="E2">
        <f>T_All_K1_N10_P50[[#This Row],[3]]</f>
        <v>4.7226581287489058</v>
      </c>
      <c r="F2">
        <f>T_All_K1_N10_P50[[#This Row],[4]]</f>
        <v>6.1279865651517289</v>
      </c>
      <c r="G2">
        <f>T_All_K1_N10_P50[[#This Row],[5]]</f>
        <v>10.941645275936219</v>
      </c>
      <c r="H2">
        <f>T_All_K1_N10_P50[[#This Row],[6]]</f>
        <v>8.8073962686550029</v>
      </c>
      <c r="I2">
        <f>T_All_K1_N10_P50[[#This Row],[7]]</f>
        <v>9.4643973155735175</v>
      </c>
      <c r="J2">
        <f>T_All_K1_N10_P50[[#This Row],[8]]</f>
        <v>14.626111236075264</v>
      </c>
      <c r="L2" s="3">
        <f t="shared" ref="L2:L11" si="0">RSQ(B2:J2,$B$1:$J$1)</f>
        <v>0.45134545097972134</v>
      </c>
    </row>
    <row r="3" spans="1:13" x14ac:dyDescent="0.25">
      <c r="A3" t="str">
        <f>T_All_K1_N10_P50[[#This Row],[Identifier]]</f>
        <v>026160bf894748f66ee965ecd8db7200649227d664cc6d31b43a70243b44b5fe</v>
      </c>
      <c r="B3">
        <f>T_All_K1_N10_P50[[#This Row],[0]]</f>
        <v>6.7009462035187903</v>
      </c>
      <c r="C3">
        <f>T_All_K1_N10_P50[[#This Row],[1]]</f>
        <v>10.711540453212665</v>
      </c>
      <c r="D3">
        <f>T_All_K1_N10_P50[[#This Row],[2]]</f>
        <v>13.537791505420095</v>
      </c>
      <c r="E3">
        <f>T_All_K1_N10_P50[[#This Row],[3]]</f>
        <v>10.08342531330843</v>
      </c>
      <c r="F3">
        <f>T_All_K1_N10_P50[[#This Row],[4]]</f>
        <v>6.6153787709408878</v>
      </c>
      <c r="G3">
        <f>T_All_K1_N10_P50[[#This Row],[5]]</f>
        <v>13.729560103389263</v>
      </c>
      <c r="H3">
        <f>T_All_K1_N10_P50[[#This Row],[6]]</f>
        <v>9.4222300339508482</v>
      </c>
      <c r="I3">
        <f>T_All_K1_N10_P50[[#This Row],[7]]</f>
        <v>7.7453960337522245</v>
      </c>
      <c r="J3">
        <f>T_All_K1_N10_P50[[#This Row],[8]]</f>
        <v>7.9839098406219069</v>
      </c>
      <c r="L3" s="3">
        <f t="shared" si="0"/>
        <v>2.024440056527577E-2</v>
      </c>
    </row>
    <row r="4" spans="1:13" x14ac:dyDescent="0.25">
      <c r="A4" t="str">
        <f>T_All_K1_N10_P50[[#This Row],[Identifier]]</f>
        <v>cce23aa32ec66d928814b588598aa21bdf8f0f46d7958bc4f71a3a1d01bef2b1</v>
      </c>
      <c r="B4">
        <f>T_All_K1_N10_P50[[#This Row],[0]]</f>
        <v>10.852737374181054</v>
      </c>
      <c r="C4">
        <f>T_All_K1_N10_P50[[#This Row],[1]]</f>
        <v>5.6070262703079354</v>
      </c>
      <c r="D4">
        <f>T_All_K1_N10_P50[[#This Row],[2]]</f>
        <v>12.594338882765497</v>
      </c>
      <c r="E4">
        <f>T_All_K1_N10_P50[[#This Row],[3]]</f>
        <v>16.534416896186755</v>
      </c>
      <c r="F4">
        <f>T_All_K1_N10_P50[[#This Row],[4]]</f>
        <v>12.920515193690036</v>
      </c>
      <c r="G4">
        <f>T_All_K1_N10_P50[[#This Row],[5]]</f>
        <v>13.649658688533226</v>
      </c>
      <c r="H4">
        <f>T_All_K1_N10_P50[[#This Row],[6]]</f>
        <v>14.87817731364267</v>
      </c>
      <c r="I4">
        <f>T_All_K1_N10_P50[[#This Row],[7]]</f>
        <v>15.521481729815116</v>
      </c>
      <c r="J4">
        <f>T_All_K1_N10_P50[[#This Row],[8]]</f>
        <v>28.176007038546764</v>
      </c>
      <c r="L4" s="3">
        <f t="shared" si="0"/>
        <v>0.57983331728476839</v>
      </c>
    </row>
    <row r="5" spans="1:13" x14ac:dyDescent="0.25">
      <c r="A5" t="str">
        <f>T_All_K1_N10_P50[[#This Row],[Identifier]]</f>
        <v>bbdf703c22e90d31aa35253461e5cea06c0d26fade0a5022c37f97468df32c81</v>
      </c>
      <c r="B5">
        <f>T_All_K1_N10_P50[[#This Row],[0]]</f>
        <v>2.5070260300507945</v>
      </c>
      <c r="C5">
        <f>T_All_K1_N10_P50[[#This Row],[1]]</f>
        <v>0.37220931145891811</v>
      </c>
      <c r="D5">
        <f>T_All_K1_N10_P50[[#This Row],[2]]</f>
        <v>2.022442320736388</v>
      </c>
      <c r="E5">
        <f>T_All_K1_N10_P50[[#This Row],[3]]</f>
        <v>5.7827090799561098</v>
      </c>
      <c r="F5">
        <f>T_All_K1_N10_P50[[#This Row],[4]]</f>
        <v>2.0263245239496186</v>
      </c>
      <c r="G5">
        <f>T_All_K1_N10_P50[[#This Row],[5]]</f>
        <v>5.7297852103987941</v>
      </c>
      <c r="H5">
        <f>T_All_K1_N10_P50[[#This Row],[6]]</f>
        <v>1.5460544095988569</v>
      </c>
      <c r="I5">
        <f>T_All_K1_N10_P50[[#This Row],[7]]</f>
        <v>3.6512393417814075</v>
      </c>
      <c r="J5">
        <f>T_All_K1_N10_P50[[#This Row],[8]]</f>
        <v>5.9522391852299252</v>
      </c>
      <c r="L5" s="3">
        <f t="shared" si="0"/>
        <v>0.24519484786731763</v>
      </c>
    </row>
    <row r="6" spans="1:13" x14ac:dyDescent="0.25">
      <c r="A6" t="str">
        <f>T_All_K1_N10_P50[[#This Row],[Identifier]]</f>
        <v>ce985dbfb0b4cf862efe96b8d305363620a18eb02e3ec174d3b2d8225bbbf0ad</v>
      </c>
      <c r="B6">
        <f>T_All_K1_N10_P50[[#This Row],[0]]</f>
        <v>5.0600346106591845</v>
      </c>
      <c r="C6">
        <f>T_All_K1_N10_P50[[#This Row],[1]]</f>
        <v>10.703537874556757</v>
      </c>
      <c r="D6">
        <f>T_All_K1_N10_P50[[#This Row],[2]]</f>
        <v>5.8107685499358945</v>
      </c>
      <c r="E6">
        <f>T_All_K1_N10_P50[[#This Row],[3]]</f>
        <v>8.2729010222122739</v>
      </c>
      <c r="F6">
        <f>T_All_K1_N10_P50[[#This Row],[4]]</f>
        <v>9.9180888782626848</v>
      </c>
      <c r="G6">
        <f>T_All_K1_N10_P50[[#This Row],[5]]</f>
        <v>9.2252658987023963</v>
      </c>
      <c r="H6">
        <f>T_All_K1_N10_P50[[#This Row],[6]]</f>
        <v>10.429233257616152</v>
      </c>
      <c r="I6">
        <f>T_All_K1_N10_P50[[#This Row],[7]]</f>
        <v>11.155184327672039</v>
      </c>
      <c r="J6">
        <f>T_All_K1_N10_P50[[#This Row],[8]]</f>
        <v>9.4920428827174241</v>
      </c>
      <c r="L6" s="3">
        <f t="shared" si="0"/>
        <v>0.38752775461965372</v>
      </c>
    </row>
    <row r="7" spans="1:13" x14ac:dyDescent="0.25">
      <c r="A7" t="str">
        <f>T_All_K1_N10_P50[[#This Row],[Identifier]]</f>
        <v>386f26769a4d9d10f2f92cc85de34f7fdee1322a1fb05e3913f189b48b3d485b</v>
      </c>
      <c r="B7">
        <f>T_All_K1_N10_P50[[#This Row],[0]]</f>
        <v>9.84643498365336</v>
      </c>
      <c r="C7">
        <f>T_All_K1_N10_P50[[#This Row],[1]]</f>
        <v>8.0872667161331169</v>
      </c>
      <c r="D7">
        <f>T_All_K1_N10_P50[[#This Row],[2]]</f>
        <v>9.3922586723158261</v>
      </c>
      <c r="E7">
        <f>T_All_K1_N10_P50[[#This Row],[3]]</f>
        <v>10.088236063291628</v>
      </c>
      <c r="F7">
        <f>T_All_K1_N10_P50[[#This Row],[4]]</f>
        <v>13.194644259584932</v>
      </c>
      <c r="G7">
        <f>T_All_K1_N10_P50[[#This Row],[5]]</f>
        <v>13.08881775818114</v>
      </c>
      <c r="H7">
        <f>T_All_K1_N10_P50[[#This Row],[6]]</f>
        <v>15.424582417086434</v>
      </c>
      <c r="I7">
        <f>T_All_K1_N10_P50[[#This Row],[7]]</f>
        <v>17.315848460318534</v>
      </c>
      <c r="J7">
        <f>T_All_K1_N10_P50[[#This Row],[8]]</f>
        <v>26.725458921497975</v>
      </c>
      <c r="L7" s="3">
        <f t="shared" si="0"/>
        <v>0.76675405279023734</v>
      </c>
    </row>
    <row r="8" spans="1:13" x14ac:dyDescent="0.25">
      <c r="A8" t="str">
        <f>T_All_K1_N10_P50[[#This Row],[Identifier]]</f>
        <v>362dfe849a2c0f562a461ac154a99046b78b047e2a279ff463e52e2536813e91</v>
      </c>
      <c r="B8">
        <f>T_All_K1_N10_P50[[#This Row],[0]]</f>
        <v>10.360605485230742</v>
      </c>
      <c r="C8">
        <f>T_All_K1_N10_P50[[#This Row],[1]]</f>
        <v>5.1031376957180479</v>
      </c>
      <c r="D8">
        <f>T_All_K1_N10_P50[[#This Row],[2]]</f>
        <v>8.7613882237996847</v>
      </c>
      <c r="E8">
        <f>T_All_K1_N10_P50[[#This Row],[3]]</f>
        <v>5.0210274511844419</v>
      </c>
      <c r="F8">
        <f>T_All_K1_N10_P50[[#This Row],[4]]</f>
        <v>14.219010134367505</v>
      </c>
      <c r="G8">
        <f>T_All_K1_N10_P50[[#This Row],[5]]</f>
        <v>15.709341137669227</v>
      </c>
      <c r="H8">
        <f>T_All_K1_N10_P50[[#This Row],[6]]</f>
        <v>8.5896416193159073</v>
      </c>
      <c r="I8">
        <f>T_All_K1_N10_P50[[#This Row],[7]]</f>
        <v>16.590837804264289</v>
      </c>
      <c r="J8">
        <f>T_All_K1_N10_P50[[#This Row],[8]]</f>
        <v>9.5505458745107923</v>
      </c>
      <c r="L8" s="3">
        <f t="shared" si="0"/>
        <v>0.19892742994510126</v>
      </c>
    </row>
    <row r="9" spans="1:13" x14ac:dyDescent="0.25">
      <c r="A9" t="str">
        <f>T_All_K1_N10_P50[[#This Row],[Identifier]]</f>
        <v>ca65ed41bc2220621d705c78c5ed0bb9a19016d582e0d36cf9b5df9911d0bcee</v>
      </c>
      <c r="B9">
        <f>T_All_K1_N10_P50[[#This Row],[0]]</f>
        <v>4.2073531746031758</v>
      </c>
      <c r="C9">
        <f>T_All_K1_N10_P50[[#This Row],[1]]</f>
        <v>5.3300515873015888</v>
      </c>
      <c r="D9">
        <f>T_All_K1_N10_P50[[#This Row],[2]]</f>
        <v>8.3496476339413324</v>
      </c>
      <c r="E9">
        <f>T_All_K1_N10_P50[[#This Row],[3]]</f>
        <v>5.9084317754293059</v>
      </c>
      <c r="F9">
        <f>T_All_K1_N10_P50[[#This Row],[4]]</f>
        <v>6.9116675545125679</v>
      </c>
      <c r="G9">
        <f>T_All_K1_N10_P50[[#This Row],[5]]</f>
        <v>7.4570062631772478</v>
      </c>
      <c r="H9">
        <f>T_All_K1_N10_P50[[#This Row],[6]]</f>
        <v>10.683043944506277</v>
      </c>
      <c r="I9">
        <f>T_All_K1_N10_P50[[#This Row],[7]]</f>
        <v>9.5681972968936648</v>
      </c>
      <c r="J9">
        <f>T_All_K1_N10_P50[[#This Row],[8]]</f>
        <v>10.599925898534815</v>
      </c>
      <c r="L9" s="3">
        <f t="shared" si="0"/>
        <v>0.76903023673005799</v>
      </c>
    </row>
    <row r="10" spans="1:13" x14ac:dyDescent="0.25">
      <c r="A10" t="str">
        <f>T_All_K1_N10_P50[[#This Row],[Identifier]]</f>
        <v>990cffa8fe4b77721a0cbd9f86eda4baf4190b367f035c322d688454605140c2</v>
      </c>
      <c r="B10">
        <f>T_All_K1_N10_P50[[#This Row],[0]]</f>
        <v>6.3457346135064414</v>
      </c>
      <c r="C10">
        <f>T_All_K1_N10_P50[[#This Row],[1]]</f>
        <v>7.2225682978442762</v>
      </c>
      <c r="D10">
        <f>T_All_K1_N10_P50[[#This Row],[2]]</f>
        <v>5.5705645243245439</v>
      </c>
      <c r="E10">
        <f>T_All_K1_N10_P50[[#This Row],[3]]</f>
        <v>5.3651423659364239</v>
      </c>
      <c r="F10">
        <f>T_All_K1_N10_P50[[#This Row],[4]]</f>
        <v>5.3426477107467072</v>
      </c>
      <c r="G10">
        <f>T_All_K1_N10_P50[[#This Row],[5]]</f>
        <v>6.7544018778733257</v>
      </c>
      <c r="H10">
        <f>T_All_K1_N10_P50[[#This Row],[6]]</f>
        <v>8.011903846421637</v>
      </c>
      <c r="I10">
        <f>T_All_K1_N10_P50[[#This Row],[7]]</f>
        <v>1.9734279456017974</v>
      </c>
      <c r="J10">
        <f>T_All_K1_N10_P50[[#This Row],[8]]</f>
        <v>2.8852612114382468</v>
      </c>
      <c r="L10" s="3">
        <f t="shared" si="0"/>
        <v>0.29338033167544447</v>
      </c>
    </row>
    <row r="11" spans="1:13" x14ac:dyDescent="0.25">
      <c r="A11" t="str">
        <f>T_All_K1_N10_P50[[#This Row],[Identifier]]</f>
        <v>0e3ba4c86644219723efff89951e8edf17da51bca7ed8f9bc114e580e6fbf049</v>
      </c>
      <c r="B11">
        <f>T_All_K1_N10_P50[[#This Row],[0]]</f>
        <v>2.5817964463493333</v>
      </c>
      <c r="C11">
        <f>T_All_K1_N10_P50[[#This Row],[1]]</f>
        <v>4.4704997635549777</v>
      </c>
      <c r="D11">
        <f>T_All_K1_N10_P50[[#This Row],[2]]</f>
        <v>4.7465840187294619</v>
      </c>
      <c r="E11">
        <f>T_All_K1_N10_P50[[#This Row],[3]]</f>
        <v>7.6875553266188659</v>
      </c>
      <c r="F11">
        <f>T_All_K1_N10_P50[[#This Row],[4]]</f>
        <v>7.8184841557783384</v>
      </c>
      <c r="G11">
        <f>T_All_K1_N10_P50[[#This Row],[5]]</f>
        <v>8.9062641539728613</v>
      </c>
      <c r="H11">
        <f>T_All_K1_N10_P50[[#This Row],[6]]</f>
        <v>11.277653125111856</v>
      </c>
      <c r="I11">
        <f>T_All_K1_N10_P50[[#This Row],[7]]</f>
        <v>10.876997317260296</v>
      </c>
      <c r="J11">
        <f>T_All_K1_N10_P50[[#This Row],[8]]</f>
        <v>12.096813285693248</v>
      </c>
      <c r="L11" s="3">
        <f t="shared" si="0"/>
        <v>0.96013039515946341</v>
      </c>
    </row>
    <row r="14" spans="1:13" x14ac:dyDescent="0.25">
      <c r="K14" s="2" t="s">
        <v>13</v>
      </c>
      <c r="L14" s="3">
        <f>AVERAGE(L2:L11)</f>
        <v>0.46723682176170411</v>
      </c>
      <c r="M14">
        <v>0.46723682176170411</v>
      </c>
    </row>
    <row r="15" spans="1:13" x14ac:dyDescent="0.25">
      <c r="L15" s="3"/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>
        <f>AVERAGE(B2:B11)</f>
        <v>6.6444495463587741</v>
      </c>
      <c r="C18" s="5">
        <f t="shared" ref="C18:J18" si="1">AVERAGE(C2:C11)</f>
        <v>6.5007791843723712</v>
      </c>
      <c r="D18" s="5">
        <f t="shared" si="1"/>
        <v>7.7413408640097758</v>
      </c>
      <c r="E18" s="5">
        <f t="shared" si="1"/>
        <v>7.9466503422873132</v>
      </c>
      <c r="F18" s="5">
        <f t="shared" si="1"/>
        <v>8.5094747746985</v>
      </c>
      <c r="G18" s="5">
        <f t="shared" si="1"/>
        <v>10.519174636783369</v>
      </c>
      <c r="H18" s="5">
        <f t="shared" si="1"/>
        <v>9.9069916235905637</v>
      </c>
      <c r="I18" s="5">
        <f t="shared" si="1"/>
        <v>10.386300757293286</v>
      </c>
      <c r="J18" s="5">
        <f t="shared" si="1"/>
        <v>12.808831537486636</v>
      </c>
      <c r="K18" s="5"/>
      <c r="L18" s="5">
        <f>RSQ(B1:J1,B18:J18)</f>
        <v>0.9078785774312873</v>
      </c>
    </row>
  </sheetData>
  <conditionalFormatting sqref="L1:L1048576">
    <cfRule type="containsBlanks" dxfId="7" priority="1">
      <formula>LEN(TRIM(L1))=0</formula>
    </cfRule>
    <cfRule type="cellIs" dxfId="6" priority="2" operator="between">
      <formula>0</formula>
      <formula>0.1</formula>
    </cfRule>
    <cfRule type="cellIs" dxfId="5" priority="3" operator="greaterThan">
      <formula>0.2</formula>
    </cfRule>
    <cfRule type="cellIs" dxfId="4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zoomScale="85" zoomScaleNormal="85" workbookViewId="0">
      <selection activeCell="N11" sqref="N11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7.570312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T_All_K1_N10_P50[[#This Row],[Identifier]]</f>
        <v>5c5880912e8926d6ce85eb4195996ffb794103ca22f16b7c6fa6c951cb215941</v>
      </c>
      <c r="B2">
        <f>(T_All_K1_N10_P50[[#This Row],[1]]-T_All_K1_N10_P50[[#This Row],[0]])/(ABS(T_All_K1_N10_P50[[#This Row],[0]]))</f>
        <v>-7.2899688454727496E-2</v>
      </c>
      <c r="C2">
        <f>(T_All_K1_N10_P50[[#This Row],[2]]-T_All_K1_N10_P50[[#This Row],[1]])/(ABS(T_All_K1_N10_P50[[#This Row],[1]]))</f>
        <v>-0.10436951076925571</v>
      </c>
      <c r="D2">
        <f>(T_All_K1_N10_P50[[#This Row],[3]]-T_All_K1_N10_P50[[#This Row],[2]])/(ABS(T_All_K1_N10_P50[[#This Row],[2]]))</f>
        <v>-0.28742820818066189</v>
      </c>
      <c r="E2">
        <f>(T_All_K1_N10_P50[[#This Row],[4]]-T_All_K1_N10_P50[[#This Row],[3]])/(ABS(T_All_K1_N10_P50[[#This Row],[3]]))</f>
        <v>0.29757149429215896</v>
      </c>
      <c r="F2">
        <f>(T_All_K1_N10_P50[[#This Row],[5]]-T_All_K1_N10_P50[[#This Row],[4]])/(ABS(T_All_K1_N10_P50[[#This Row],[4]]))</f>
        <v>0.78552044127487475</v>
      </c>
      <c r="G2">
        <f>(T_All_K1_N10_P50[[#This Row],[6]]-T_All_K1_N10_P50[[#This Row],[5]])/(ABS(T_All_K1_N10_P50[[#This Row],[5]]))</f>
        <v>-0.19505741170160534</v>
      </c>
      <c r="H2">
        <f>(T_All_K1_N10_P50[[#This Row],[7]]-T_All_K1_N10_P50[[#This Row],[6]])/(ABS(T_All_K1_N10_P50[[#This Row],[6]]))</f>
        <v>7.4596512621640756E-2</v>
      </c>
      <c r="I2">
        <f>(T_All_K1_N10_P50[[#This Row],[8]]-T_All_K1_N10_P50[[#This Row],[7]])/(ABS(T_All_K1_N10_P50[[#This Row],[7]]))</f>
        <v>0.54538220960020634</v>
      </c>
      <c r="K2">
        <f>AVERAGE(B2:I2)</f>
        <v>0.13041447983532878</v>
      </c>
      <c r="L2">
        <f>(T_All_K1_N10_P50[[#This Row],[8]]-T_All_K1_N10_P50[[#This Row],[0]])/ABS(T_All_K1_N10_P50[[#This Row],[0]])</f>
        <v>0.83242659551870257</v>
      </c>
    </row>
    <row r="3" spans="1:12" x14ac:dyDescent="0.25">
      <c r="A3" t="str">
        <f>T_All_K1_N10_P50[[#This Row],[Identifier]]</f>
        <v>026160bf894748f66ee965ecd8db7200649227d664cc6d31b43a70243b44b5fe</v>
      </c>
      <c r="B3">
        <f>(T_All_K1_N10_P50[[#This Row],[1]]-T_All_K1_N10_P50[[#This Row],[0]])/(ABS(T_All_K1_N10_P50[[#This Row],[0]]))</f>
        <v>0.59851163222110892</v>
      </c>
      <c r="C3">
        <f>(T_All_K1_N10_P50[[#This Row],[2]]-T_All_K1_N10_P50[[#This Row],[1]])/(ABS(T_All_K1_N10_P50[[#This Row],[1]]))</f>
        <v>0.26385103660414833</v>
      </c>
      <c r="D3">
        <f>(T_All_K1_N10_P50[[#This Row],[3]]-T_All_K1_N10_P50[[#This Row],[2]])/(ABS(T_All_K1_N10_P50[[#This Row],[2]]))</f>
        <v>-0.25516467665561615</v>
      </c>
      <c r="E3">
        <f>(T_All_K1_N10_P50[[#This Row],[4]]-T_All_K1_N10_P50[[#This Row],[3]])/(ABS(T_All_K1_N10_P50[[#This Row],[3]]))</f>
        <v>-0.34393536269766412</v>
      </c>
      <c r="F3">
        <f>(T_All_K1_N10_P50[[#This Row],[5]]-T_All_K1_N10_P50[[#This Row],[4]])/(ABS(T_All_K1_N10_P50[[#This Row],[4]]))</f>
        <v>1.0754004538180879</v>
      </c>
      <c r="G3">
        <f>(T_All_K1_N10_P50[[#This Row],[6]]-T_All_K1_N10_P50[[#This Row],[5]])/(ABS(T_All_K1_N10_P50[[#This Row],[5]]))</f>
        <v>-0.31372673537989842</v>
      </c>
      <c r="H3">
        <f>(T_All_K1_N10_P50[[#This Row],[7]]-T_All_K1_N10_P50[[#This Row],[6]])/(ABS(T_All_K1_N10_P50[[#This Row],[6]]))</f>
        <v>-0.17796572511566119</v>
      </c>
      <c r="I3">
        <f>(T_All_K1_N10_P50[[#This Row],[8]]-T_All_K1_N10_P50[[#This Row],[7]])/(ABS(T_All_K1_N10_P50[[#This Row],[7]]))</f>
        <v>3.0794268728197668E-2</v>
      </c>
      <c r="K3">
        <f t="shared" ref="K3:K10" si="0">AVERAGE(B3:I3)</f>
        <v>0.10972061144033787</v>
      </c>
      <c r="L3">
        <f>(T_All_K1_N10_P50[[#This Row],[8]]-T_All_K1_N10_P50[[#This Row],[0]])/ABS(T_All_K1_N10_P50[[#This Row],[0]])</f>
        <v>0.19146007118060562</v>
      </c>
    </row>
    <row r="4" spans="1:12" x14ac:dyDescent="0.25">
      <c r="A4" t="str">
        <f>T_All_K1_N10_P50[[#This Row],[Identifier]]</f>
        <v>cce23aa32ec66d928814b588598aa21bdf8f0f46d7958bc4f71a3a1d01bef2b1</v>
      </c>
      <c r="B4">
        <f>(T_All_K1_N10_P50[[#This Row],[1]]-T_All_K1_N10_P50[[#This Row],[0]])/(ABS(T_All_K1_N10_P50[[#This Row],[0]]))</f>
        <v>-0.48335373123031633</v>
      </c>
      <c r="C4">
        <f>(T_All_K1_N10_P50[[#This Row],[2]]-T_All_K1_N10_P50[[#This Row],[1]])/(ABS(T_All_K1_N10_P50[[#This Row],[1]]))</f>
        <v>1.24617083559229</v>
      </c>
      <c r="D4">
        <f>(T_All_K1_N10_P50[[#This Row],[3]]-T_All_K1_N10_P50[[#This Row],[2]])/(ABS(T_All_K1_N10_P50[[#This Row],[2]]))</f>
        <v>0.31284516401357038</v>
      </c>
      <c r="E4">
        <f>(T_All_K1_N10_P50[[#This Row],[4]]-T_All_K1_N10_P50[[#This Row],[3]])/(ABS(T_All_K1_N10_P50[[#This Row],[3]]))</f>
        <v>-0.21856843970894274</v>
      </c>
      <c r="F4">
        <f>(T_All_K1_N10_P50[[#This Row],[5]]-T_All_K1_N10_P50[[#This Row],[4]])/(ABS(T_All_K1_N10_P50[[#This Row],[4]]))</f>
        <v>5.6433004714802656E-2</v>
      </c>
      <c r="G4">
        <f>(T_All_K1_N10_P50[[#This Row],[6]]-T_All_K1_N10_P50[[#This Row],[5]])/(ABS(T_All_K1_N10_P50[[#This Row],[5]]))</f>
        <v>9.0003614972548399E-2</v>
      </c>
      <c r="H4">
        <f>(T_All_K1_N10_P50[[#This Row],[7]]-T_All_K1_N10_P50[[#This Row],[6]])/(ABS(T_All_K1_N10_P50[[#This Row],[6]]))</f>
        <v>4.323812000698251E-2</v>
      </c>
      <c r="I4">
        <f>(T_All_K1_N10_P50[[#This Row],[8]]-T_All_K1_N10_P50[[#This Row],[7]])/(ABS(T_All_K1_N10_P50[[#This Row],[7]]))</f>
        <v>0.81529106106046889</v>
      </c>
      <c r="K4">
        <f t="shared" si="0"/>
        <v>0.23275745367767547</v>
      </c>
      <c r="L4">
        <f>(T_All_K1_N10_P50[[#This Row],[8]]-T_All_K1_N10_P50[[#This Row],[0]])/ABS(T_All_K1_N10_P50[[#This Row],[0]])</f>
        <v>1.5962120032111182</v>
      </c>
    </row>
    <row r="5" spans="1:12" x14ac:dyDescent="0.25">
      <c r="A5" t="str">
        <f>T_All_K1_N10_P50[[#This Row],[Identifier]]</f>
        <v>bbdf703c22e90d31aa35253461e5cea06c0d26fade0a5022c37f97468df32c81</v>
      </c>
      <c r="B5">
        <f>(T_All_K1_N10_P50[[#This Row],[1]]-T_All_K1_N10_P50[[#This Row],[0]])/(ABS(T_All_K1_N10_P50[[#This Row],[0]]))</f>
        <v>-0.85153352737571031</v>
      </c>
      <c r="C5">
        <f>(T_All_K1_N10_P50[[#This Row],[2]]-T_All_K1_N10_P50[[#This Row],[1]])/(ABS(T_All_K1_N10_P50[[#This Row],[1]]))</f>
        <v>4.4336155987317669</v>
      </c>
      <c r="D5">
        <f>(T_All_K1_N10_P50[[#This Row],[3]]-T_All_K1_N10_P50[[#This Row],[2]])/(ABS(T_All_K1_N10_P50[[#This Row],[2]]))</f>
        <v>1.859270210411033</v>
      </c>
      <c r="E5">
        <f>(T_All_K1_N10_P50[[#This Row],[4]]-T_All_K1_N10_P50[[#This Row],[3]])/(ABS(T_All_K1_N10_P50[[#This Row],[3]]))</f>
        <v>-0.64958906008721462</v>
      </c>
      <c r="F5">
        <f>(T_All_K1_N10_P50[[#This Row],[5]]-T_All_K1_N10_P50[[#This Row],[4]])/(ABS(T_All_K1_N10_P50[[#This Row],[4]]))</f>
        <v>1.8276740189821916</v>
      </c>
      <c r="G5">
        <f>(T_All_K1_N10_P50[[#This Row],[6]]-T_All_K1_N10_P50[[#This Row],[5]])/(ABS(T_All_K1_N10_P50[[#This Row],[5]]))</f>
        <v>-0.73017236199483104</v>
      </c>
      <c r="H5">
        <f>(T_All_K1_N10_P50[[#This Row],[7]]-T_All_K1_N10_P50[[#This Row],[6]])/(ABS(T_All_K1_N10_P50[[#This Row],[6]]))</f>
        <v>1.3616499646534219</v>
      </c>
      <c r="I5">
        <f>(T_All_K1_N10_P50[[#This Row],[8]]-T_All_K1_N10_P50[[#This Row],[7]])/(ABS(T_All_K1_N10_P50[[#This Row],[7]]))</f>
        <v>0.63019693535781196</v>
      </c>
      <c r="K5">
        <f t="shared" si="0"/>
        <v>0.98513897233480874</v>
      </c>
      <c r="L5">
        <f>(T_All_K1_N10_P50[[#This Row],[8]]-T_All_K1_N10_P50[[#This Row],[0]])/ABS(T_All_K1_N10_P50[[#This Row],[0]])</f>
        <v>1.3742231288716726</v>
      </c>
    </row>
    <row r="6" spans="1:12" x14ac:dyDescent="0.25">
      <c r="A6" t="str">
        <f>T_All_K1_N10_P50[[#This Row],[Identifier]]</f>
        <v>ce985dbfb0b4cf862efe96b8d305363620a18eb02e3ec174d3b2d8225bbbf0ad</v>
      </c>
      <c r="B6">
        <f>(T_All_K1_N10_P50[[#This Row],[1]]-T_All_K1_N10_P50[[#This Row],[0]])/(ABS(T_All_K1_N10_P50[[#This Row],[0]]))</f>
        <v>1.115309221800437</v>
      </c>
      <c r="C6">
        <f>(T_All_K1_N10_P50[[#This Row],[2]]-T_All_K1_N10_P50[[#This Row],[1]])/(ABS(T_All_K1_N10_P50[[#This Row],[1]]))</f>
        <v>-0.45711701887386241</v>
      </c>
      <c r="D6">
        <f>(T_All_K1_N10_P50[[#This Row],[3]]-T_All_K1_N10_P50[[#This Row],[2]])/(ABS(T_All_K1_N10_P50[[#This Row],[2]]))</f>
        <v>0.42371890243392019</v>
      </c>
      <c r="E6">
        <f>(T_All_K1_N10_P50[[#This Row],[4]]-T_All_K1_N10_P50[[#This Row],[3]])/(ABS(T_All_K1_N10_P50[[#This Row],[3]]))</f>
        <v>0.19886468502804205</v>
      </c>
      <c r="F6">
        <f>(T_All_K1_N10_P50[[#This Row],[5]]-T_All_K1_N10_P50[[#This Row],[4]])/(ABS(T_All_K1_N10_P50[[#This Row],[4]]))</f>
        <v>-6.9854483869239911E-2</v>
      </c>
      <c r="G6">
        <f>(T_All_K1_N10_P50[[#This Row],[6]]-T_All_K1_N10_P50[[#This Row],[5]])/(ABS(T_All_K1_N10_P50[[#This Row],[5]]))</f>
        <v>0.1305076051068732</v>
      </c>
      <c r="H6">
        <f>(T_All_K1_N10_P50[[#This Row],[7]]-T_All_K1_N10_P50[[#This Row],[6]])/(ABS(T_All_K1_N10_P50[[#This Row],[6]]))</f>
        <v>6.960732894968541E-2</v>
      </c>
      <c r="I6">
        <f>(T_All_K1_N10_P50[[#This Row],[8]]-T_All_K1_N10_P50[[#This Row],[7]])/(ABS(T_All_K1_N10_P50[[#This Row],[7]]))</f>
        <v>-0.1490913458802248</v>
      </c>
      <c r="K6">
        <f t="shared" si="0"/>
        <v>0.15774311183695386</v>
      </c>
      <c r="L6">
        <f>(T_All_K1_N10_P50[[#This Row],[8]]-T_All_K1_N10_P50[[#This Row],[0]])/ABS(T_All_K1_N10_P50[[#This Row],[0]])</f>
        <v>0.87588497175928803</v>
      </c>
    </row>
    <row r="7" spans="1:12" x14ac:dyDescent="0.25">
      <c r="A7" t="str">
        <f>T_All_K1_N10_P50[[#This Row],[Identifier]]</f>
        <v>386f26769a4d9d10f2f92cc85de34f7fdee1322a1fb05e3913f189b48b3d485b</v>
      </c>
      <c r="B7">
        <f>(T_All_K1_N10_P50[[#This Row],[1]]-T_All_K1_N10_P50[[#This Row],[0]])/(ABS(T_All_K1_N10_P50[[#This Row],[0]]))</f>
        <v>-0.17866042587400829</v>
      </c>
      <c r="C7">
        <f>(T_All_K1_N10_P50[[#This Row],[2]]-T_All_K1_N10_P50[[#This Row],[1]])/(ABS(T_All_K1_N10_P50[[#This Row],[1]]))</f>
        <v>0.16136378358579526</v>
      </c>
      <c r="D7">
        <f>(T_All_K1_N10_P50[[#This Row],[3]]-T_All_K1_N10_P50[[#This Row],[2]])/(ABS(T_All_K1_N10_P50[[#This Row],[2]]))</f>
        <v>7.4101173664140207E-2</v>
      </c>
      <c r="E7">
        <f>(T_All_K1_N10_P50[[#This Row],[4]]-T_All_K1_N10_P50[[#This Row],[3]])/(ABS(T_All_K1_N10_P50[[#This Row],[3]]))</f>
        <v>0.30792382105298721</v>
      </c>
      <c r="F7">
        <f>(T_All_K1_N10_P50[[#This Row],[5]]-T_All_K1_N10_P50[[#This Row],[4]])/(ABS(T_All_K1_N10_P50[[#This Row],[4]]))</f>
        <v>-8.0204133830221822E-3</v>
      </c>
      <c r="G7">
        <f>(T_All_K1_N10_P50[[#This Row],[6]]-T_All_K1_N10_P50[[#This Row],[5]])/(ABS(T_All_K1_N10_P50[[#This Row],[5]]))</f>
        <v>0.17845497600005386</v>
      </c>
      <c r="H7">
        <f>(T_All_K1_N10_P50[[#This Row],[7]]-T_All_K1_N10_P50[[#This Row],[6]])/(ABS(T_All_K1_N10_P50[[#This Row],[6]]))</f>
        <v>0.12261375978237625</v>
      </c>
      <c r="I7">
        <f>(T_All_K1_N10_P50[[#This Row],[8]]-T_All_K1_N10_P50[[#This Row],[7]])/(ABS(T_All_K1_N10_P50[[#This Row],[7]]))</f>
        <v>0.54341030315336603</v>
      </c>
      <c r="K7">
        <f t="shared" si="0"/>
        <v>0.15014837224771105</v>
      </c>
      <c r="L7">
        <f>(T_All_K1_N10_P50[[#This Row],[8]]-T_All_K1_N10_P50[[#This Row],[0]])/ABS(T_All_K1_N10_P50[[#This Row],[0]])</f>
        <v>1.7142269223192419</v>
      </c>
    </row>
    <row r="8" spans="1:12" x14ac:dyDescent="0.25">
      <c r="A8" t="str">
        <f>T_All_K1_N10_P50[[#This Row],[Identifier]]</f>
        <v>362dfe849a2c0f562a461ac154a99046b78b047e2a279ff463e52e2536813e91</v>
      </c>
      <c r="B8">
        <f>(T_All_K1_N10_P50[[#This Row],[1]]-T_All_K1_N10_P50[[#This Row],[0]])/(ABS(T_All_K1_N10_P50[[#This Row],[0]]))</f>
        <v>-0.50744792830953012</v>
      </c>
      <c r="C8">
        <f>(T_All_K1_N10_P50[[#This Row],[2]]-T_All_K1_N10_P50[[#This Row],[1]])/(ABS(T_All_K1_N10_P50[[#This Row],[1]]))</f>
        <v>0.71686298630570167</v>
      </c>
      <c r="D8">
        <f>(T_All_K1_N10_P50[[#This Row],[3]]-T_All_K1_N10_P50[[#This Row],[2]])/(ABS(T_All_K1_N10_P50[[#This Row],[2]]))</f>
        <v>-0.42691416897322504</v>
      </c>
      <c r="E8">
        <f>(T_All_K1_N10_P50[[#This Row],[4]]-T_All_K1_N10_P50[[#This Row],[3]])/(ABS(T_All_K1_N10_P50[[#This Row],[3]]))</f>
        <v>1.8318925304846307</v>
      </c>
      <c r="F8">
        <f>(T_All_K1_N10_P50[[#This Row],[5]]-T_All_K1_N10_P50[[#This Row],[4]])/(ABS(T_All_K1_N10_P50[[#This Row],[4]]))</f>
        <v>0.10481257058109665</v>
      </c>
      <c r="G8">
        <f>(T_All_K1_N10_P50[[#This Row],[6]]-T_All_K1_N10_P50[[#This Row],[5]])/(ABS(T_All_K1_N10_P50[[#This Row],[5]]))</f>
        <v>-0.45321439365022664</v>
      </c>
      <c r="H8">
        <f>(T_All_K1_N10_P50[[#This Row],[7]]-T_All_K1_N10_P50[[#This Row],[6]])/(ABS(T_All_K1_N10_P50[[#This Row],[6]]))</f>
        <v>0.93149359886630634</v>
      </c>
      <c r="I8">
        <f>(T_All_K1_N10_P50[[#This Row],[8]]-T_All_K1_N10_P50[[#This Row],[7]])/(ABS(T_All_K1_N10_P50[[#This Row],[7]]))</f>
        <v>-0.4243481861985266</v>
      </c>
      <c r="K8">
        <f t="shared" si="0"/>
        <v>0.22164212613827838</v>
      </c>
      <c r="L8">
        <f>(T_All_K1_N10_P50[[#This Row],[8]]-T_All_K1_N10_P50[[#This Row],[0]])/ABS(T_All_K1_N10_P50[[#This Row],[0]])</f>
        <v>-7.8186512542602532E-2</v>
      </c>
    </row>
    <row r="9" spans="1:12" x14ac:dyDescent="0.25">
      <c r="A9" t="str">
        <f>T_All_K1_N10_P50[[#This Row],[Identifier]]</f>
        <v>ca65ed41bc2220621d705c78c5ed0bb9a19016d582e0d36cf9b5df9911d0bcee</v>
      </c>
      <c r="B9">
        <f>(T_All_K1_N10_P50[[#This Row],[1]]-T_All_K1_N10_P50[[#This Row],[0]])/(ABS(T_All_K1_N10_P50[[#This Row],[0]]))</f>
        <v>0.26684197073717308</v>
      </c>
      <c r="C9">
        <f>(T_All_K1_N10_P50[[#This Row],[2]]-T_All_K1_N10_P50[[#This Row],[1]])/(ABS(T_All_K1_N10_P50[[#This Row],[1]]))</f>
        <v>0.56652285577004236</v>
      </c>
      <c r="D9">
        <f>(T_All_K1_N10_P50[[#This Row],[3]]-T_All_K1_N10_P50[[#This Row],[2]])/(ABS(T_All_K1_N10_P50[[#This Row],[2]]))</f>
        <v>-0.29237351868460648</v>
      </c>
      <c r="E9">
        <f>(T_All_K1_N10_P50[[#This Row],[4]]-T_All_K1_N10_P50[[#This Row],[3]])/(ABS(T_All_K1_N10_P50[[#This Row],[3]]))</f>
        <v>0.16979730277250549</v>
      </c>
      <c r="F9">
        <f>(T_All_K1_N10_P50[[#This Row],[5]]-T_All_K1_N10_P50[[#This Row],[4]])/(ABS(T_All_K1_N10_P50[[#This Row],[4]]))</f>
        <v>7.8901177518098803E-2</v>
      </c>
      <c r="G9">
        <f>(T_All_K1_N10_P50[[#This Row],[6]]-T_All_K1_N10_P50[[#This Row],[5]])/(ABS(T_All_K1_N10_P50[[#This Row],[5]]))</f>
        <v>0.43261834139247374</v>
      </c>
      <c r="H9">
        <f>(T_All_K1_N10_P50[[#This Row],[7]]-T_All_K1_N10_P50[[#This Row],[6]])/(ABS(T_All_K1_N10_P50[[#This Row],[6]]))</f>
        <v>-0.10435664716945388</v>
      </c>
      <c r="I9">
        <f>(T_All_K1_N10_P50[[#This Row],[8]]-T_All_K1_N10_P50[[#This Row],[7]])/(ABS(T_All_K1_N10_P50[[#This Row],[7]]))</f>
        <v>0.10782894307333141</v>
      </c>
      <c r="K9">
        <f t="shared" si="0"/>
        <v>0.15322255317619557</v>
      </c>
      <c r="L9">
        <f>(T_All_K1_N10_P50[[#This Row],[8]]-T_All_K1_N10_P50[[#This Row],[0]])/ABS(T_All_K1_N10_P50[[#This Row],[0]])</f>
        <v>1.519381059455406</v>
      </c>
    </row>
    <row r="10" spans="1:12" x14ac:dyDescent="0.25">
      <c r="A10" t="str">
        <f>T_All_K1_N10_P50[[#This Row],[Identifier]]</f>
        <v>990cffa8fe4b77721a0cbd9f86eda4baf4190b367f035c322d688454605140c2</v>
      </c>
      <c r="B10">
        <f>(T_All_K1_N10_P50[[#This Row],[1]]-T_All_K1_N10_P50[[#This Row],[0]])/(ABS(T_All_K1_N10_P50[[#This Row],[0]]))</f>
        <v>0.13817686016549718</v>
      </c>
      <c r="C10">
        <f>(T_All_K1_N10_P50[[#This Row],[2]]-T_All_K1_N10_P50[[#This Row],[1]])/(ABS(T_All_K1_N10_P50[[#This Row],[1]]))</f>
        <v>-0.22872802379906976</v>
      </c>
      <c r="D10">
        <f>(T_All_K1_N10_P50[[#This Row],[3]]-T_All_K1_N10_P50[[#This Row],[2]])/(ABS(T_All_K1_N10_P50[[#This Row],[2]]))</f>
        <v>-3.6876362797903024E-2</v>
      </c>
      <c r="E10">
        <f>(T_All_K1_N10_P50[[#This Row],[4]]-T_All_K1_N10_P50[[#This Row],[3]])/(ABS(T_All_K1_N10_P50[[#This Row],[3]]))</f>
        <v>-4.192741525842163E-3</v>
      </c>
      <c r="F10">
        <f>(T_All_K1_N10_P50[[#This Row],[5]]-T_All_K1_N10_P50[[#This Row],[4]])/(ABS(T_All_K1_N10_P50[[#This Row],[4]]))</f>
        <v>0.26424242127866349</v>
      </c>
      <c r="G10">
        <f>(T_All_K1_N10_P50[[#This Row],[6]]-T_All_K1_N10_P50[[#This Row],[5]])/(ABS(T_All_K1_N10_P50[[#This Row],[5]]))</f>
        <v>0.18617517750428039</v>
      </c>
      <c r="H10">
        <f>(T_All_K1_N10_P50[[#This Row],[7]]-T_All_K1_N10_P50[[#This Row],[6]])/(ABS(T_All_K1_N10_P50[[#This Row],[6]]))</f>
        <v>-0.75368801430596422</v>
      </c>
      <c r="I10">
        <f>(T_All_K1_N10_P50[[#This Row],[8]]-T_All_K1_N10_P50[[#This Row],[7]])/(ABS(T_All_K1_N10_P50[[#This Row],[7]]))</f>
        <v>0.46205551505879056</v>
      </c>
      <c r="K10">
        <f t="shared" si="0"/>
        <v>3.3956039473065566E-3</v>
      </c>
      <c r="L10">
        <f>(T_All_K1_N10_P50[[#This Row],[8]]-T_All_K1_N10_P50[[#This Row],[0]])/ABS(T_All_K1_N10_P50[[#This Row],[0]])</f>
        <v>-0.54532274241390821</v>
      </c>
    </row>
    <row r="11" spans="1:12" x14ac:dyDescent="0.25">
      <c r="A11" t="str">
        <f>T_All_K1_N10_P50[[#This Row],[Identifier]]</f>
        <v>0e3ba4c86644219723efff89951e8edf17da51bca7ed8f9bc114e580e6fbf049</v>
      </c>
      <c r="B11">
        <f>(T_All_K1_N10_P50[[#This Row],[1]]-T_All_K1_N10_P50[[#This Row],[0]])/(ABS(T_All_K1_N10_P50[[#This Row],[0]]))</f>
        <v>0.73154617587156245</v>
      </c>
      <c r="C11">
        <f>(T_All_K1_N10_P50[[#This Row],[2]]-T_All_K1_N10_P50[[#This Row],[1]])/(ABS(T_All_K1_N10_P50[[#This Row],[1]]))</f>
        <v>6.1756910810110359E-2</v>
      </c>
      <c r="D11">
        <f>(T_All_K1_N10_P50[[#This Row],[3]]-T_All_K1_N10_P50[[#This Row],[2]])/(ABS(T_All_K1_N10_P50[[#This Row],[2]]))</f>
        <v>0.61959744024011321</v>
      </c>
      <c r="E11">
        <f>(T_All_K1_N10_P50[[#This Row],[4]]-T_All_K1_N10_P50[[#This Row],[3]])/(ABS(T_All_K1_N10_P50[[#This Row],[3]]))</f>
        <v>1.7031269837645198E-2</v>
      </c>
      <c r="F11">
        <f>(T_All_K1_N10_P50[[#This Row],[5]]-T_All_K1_N10_P50[[#This Row],[4]])/(ABS(T_All_K1_N10_P50[[#This Row],[4]]))</f>
        <v>0.139129270651599</v>
      </c>
      <c r="G11">
        <f>(T_All_K1_N10_P50[[#This Row],[6]]-T_All_K1_N10_P50[[#This Row],[5]])/(ABS(T_All_K1_N10_P50[[#This Row],[5]]))</f>
        <v>0.26626079466564861</v>
      </c>
      <c r="H11">
        <f>(T_All_K1_N10_P50[[#This Row],[7]]-T_All_K1_N10_P50[[#This Row],[6]])/(ABS(T_All_K1_N10_P50[[#This Row],[6]]))</f>
        <v>-3.5526523418194463E-2</v>
      </c>
      <c r="I11">
        <f>(T_All_K1_N10_P50[[#This Row],[8]]-T_All_K1_N10_P50[[#This Row],[7]])/(ABS(T_All_K1_N10_P50[[#This Row],[7]]))</f>
        <v>0.11214638864507875</v>
      </c>
      <c r="K11">
        <f>AVERAGE(B11:I11)</f>
        <v>0.23899271591294535</v>
      </c>
      <c r="L11">
        <f>(T_All_K1_N10_P50[[#This Row],[8]]-T_All_K1_N10_P50[[#This Row],[0]])/ABS(T_All_K1_N10_P50[[#This Row],[0]])</f>
        <v>3.6854248725913976</v>
      </c>
    </row>
    <row r="14" spans="1:12" x14ac:dyDescent="0.25">
      <c r="J14" s="2" t="s">
        <v>25</v>
      </c>
      <c r="K14">
        <f>AVERAGE(K2:K11)</f>
        <v>0.23831760005475416</v>
      </c>
      <c r="L14">
        <f>AVERAGE(L2:L11)</f>
        <v>1.1165730369950921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>
        <f>AVERAGE(B2:B11)</f>
        <v>7.564905595514862E-2</v>
      </c>
      <c r="C18" s="5">
        <f t="shared" ref="C18:I18" si="1">AVERAGE(C2:C11)</f>
        <v>0.66599294539576659</v>
      </c>
      <c r="D18" s="5">
        <f t="shared" si="1"/>
        <v>0.19907759554707644</v>
      </c>
      <c r="E18" s="5">
        <f t="shared" si="1"/>
        <v>0.16067954994483058</v>
      </c>
      <c r="F18" s="5">
        <f t="shared" si="1"/>
        <v>0.42542384615671536</v>
      </c>
      <c r="G18" s="5">
        <f t="shared" si="1"/>
        <v>-4.0815039308468318E-2</v>
      </c>
      <c r="H18" s="5">
        <f t="shared" si="1"/>
        <v>0.15316623748711394</v>
      </c>
      <c r="I18" s="5">
        <f t="shared" si="1"/>
        <v>0.26736660925985006</v>
      </c>
      <c r="J18" s="5"/>
      <c r="K18" s="5">
        <f>AVERAGE(B18:I18)</f>
        <v>0.23831760005475414</v>
      </c>
      <c r="L18" s="5">
        <f>(I18-B18)/(ABS(B18))</f>
        <v>2.5343019933833464</v>
      </c>
    </row>
  </sheetData>
  <conditionalFormatting sqref="A18:XFD1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K15 K16:L25 K26 K27:L1048576 K1:L14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P50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2026-02-15T22:52:39Z</dcterms:modified>
</cp:coreProperties>
</file>