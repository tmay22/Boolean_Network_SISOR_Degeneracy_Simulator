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oolean_Network_SISOR_Degeneracy_Simulator\Boolean_Network_SISOR_Degeneracy_Simulator\Cumulative_Outputs\Results\"/>
    </mc:Choice>
  </mc:AlternateContent>
  <xr:revisionPtr revIDLastSave="0" documentId="13_ncr:1_{9DF70E40-E9DC-4F16-82CA-56146B59EC27}" xr6:coauthVersionLast="47" xr6:coauthVersionMax="47" xr10:uidLastSave="{00000000-0000-0000-0000-000000000000}"/>
  <bookViews>
    <workbookView xWindow="-120" yWindow="-120" windowWidth="38640" windowHeight="21240" xr2:uid="{5CF18307-C3AA-4F8D-B283-B3AED6997DE3}"/>
  </bookViews>
  <sheets>
    <sheet name="T-All_K1 N10 P20" sheetId="5" r:id="rId1"/>
    <sheet name="R Squared" sheetId="1" r:id="rId2"/>
    <sheet name="Relative Change" sheetId="3" r:id="rId3"/>
    <sheet name="Graphs" sheetId="4" r:id="rId4"/>
  </sheets>
  <definedNames>
    <definedName name="ExternalData_1" localSheetId="0" hidden="1">'T-All_K1 N10 P20'!$A$1:$L$11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2" i="3"/>
  <c r="B3" i="3"/>
  <c r="C3" i="3"/>
  <c r="D3" i="3"/>
  <c r="E3" i="3"/>
  <c r="F3" i="3"/>
  <c r="G3" i="3"/>
  <c r="H3" i="3"/>
  <c r="I3" i="3"/>
  <c r="B4" i="3"/>
  <c r="C4" i="3"/>
  <c r="D4" i="3"/>
  <c r="E4" i="3"/>
  <c r="F4" i="3"/>
  <c r="G4" i="3"/>
  <c r="H4" i="3"/>
  <c r="I4" i="3"/>
  <c r="B5" i="3"/>
  <c r="C5" i="3"/>
  <c r="D5" i="3"/>
  <c r="E5" i="3"/>
  <c r="F5" i="3"/>
  <c r="G5" i="3"/>
  <c r="H5" i="3"/>
  <c r="I5" i="3"/>
  <c r="B6" i="3"/>
  <c r="C6" i="3"/>
  <c r="D6" i="3"/>
  <c r="E6" i="3"/>
  <c r="F6" i="3"/>
  <c r="G6" i="3"/>
  <c r="H6" i="3"/>
  <c r="I6" i="3"/>
  <c r="B7" i="3"/>
  <c r="C7" i="3"/>
  <c r="D7" i="3"/>
  <c r="E7" i="3"/>
  <c r="F7" i="3"/>
  <c r="G7" i="3"/>
  <c r="H7" i="3"/>
  <c r="I7" i="3"/>
  <c r="B8" i="3"/>
  <c r="C8" i="3"/>
  <c r="D8" i="3"/>
  <c r="E8" i="3"/>
  <c r="F8" i="3"/>
  <c r="G8" i="3"/>
  <c r="H8" i="3"/>
  <c r="I8" i="3"/>
  <c r="B9" i="3"/>
  <c r="C9" i="3"/>
  <c r="D9" i="3"/>
  <c r="E9" i="3"/>
  <c r="F9" i="3"/>
  <c r="G9" i="3"/>
  <c r="H9" i="3"/>
  <c r="I9" i="3"/>
  <c r="B10" i="3"/>
  <c r="C10" i="3"/>
  <c r="D10" i="3"/>
  <c r="E10" i="3"/>
  <c r="F10" i="3"/>
  <c r="G10" i="3"/>
  <c r="H10" i="3"/>
  <c r="I10" i="3"/>
  <c r="B11" i="3"/>
  <c r="C11" i="3"/>
  <c r="D11" i="3"/>
  <c r="E11" i="3"/>
  <c r="F11" i="3"/>
  <c r="G11" i="3"/>
  <c r="H11" i="3"/>
  <c r="I11" i="3"/>
  <c r="C2" i="3"/>
  <c r="D2" i="3"/>
  <c r="E2" i="3"/>
  <c r="F2" i="3"/>
  <c r="G2" i="3"/>
  <c r="H2" i="3"/>
  <c r="I2" i="3"/>
  <c r="B2" i="3"/>
  <c r="A3" i="3"/>
  <c r="A4" i="3"/>
  <c r="A5" i="3"/>
  <c r="A6" i="3"/>
  <c r="A7" i="3"/>
  <c r="A8" i="3"/>
  <c r="A9" i="3"/>
  <c r="A10" i="3"/>
  <c r="A11" i="3"/>
  <c r="A2" i="3"/>
  <c r="A3" i="1"/>
  <c r="B3" i="1"/>
  <c r="C3" i="1"/>
  <c r="D3" i="1"/>
  <c r="E3" i="1"/>
  <c r="F3" i="1"/>
  <c r="G3" i="1"/>
  <c r="H3" i="1"/>
  <c r="I3" i="1"/>
  <c r="J3" i="1"/>
  <c r="A4" i="1"/>
  <c r="B4" i="1"/>
  <c r="C4" i="1"/>
  <c r="D4" i="1"/>
  <c r="E4" i="1"/>
  <c r="F4" i="1"/>
  <c r="G4" i="1"/>
  <c r="H4" i="1"/>
  <c r="I4" i="1"/>
  <c r="J4" i="1"/>
  <c r="A5" i="1"/>
  <c r="B5" i="1"/>
  <c r="C5" i="1"/>
  <c r="D5" i="1"/>
  <c r="E5" i="1"/>
  <c r="F5" i="1"/>
  <c r="G5" i="1"/>
  <c r="H5" i="1"/>
  <c r="I5" i="1"/>
  <c r="J5" i="1"/>
  <c r="A6" i="1"/>
  <c r="B6" i="1"/>
  <c r="C6" i="1"/>
  <c r="D6" i="1"/>
  <c r="E6" i="1"/>
  <c r="F6" i="1"/>
  <c r="G6" i="1"/>
  <c r="H6" i="1"/>
  <c r="I6" i="1"/>
  <c r="J6" i="1"/>
  <c r="A7" i="1"/>
  <c r="B7" i="1"/>
  <c r="C7" i="1"/>
  <c r="D7" i="1"/>
  <c r="E7" i="1"/>
  <c r="F7" i="1"/>
  <c r="G7" i="1"/>
  <c r="H7" i="1"/>
  <c r="I7" i="1"/>
  <c r="J7" i="1"/>
  <c r="A8" i="1"/>
  <c r="B8" i="1"/>
  <c r="C8" i="1"/>
  <c r="D8" i="1"/>
  <c r="E8" i="1"/>
  <c r="F8" i="1"/>
  <c r="G8" i="1"/>
  <c r="H8" i="1"/>
  <c r="I8" i="1"/>
  <c r="J8" i="1"/>
  <c r="A9" i="1"/>
  <c r="B9" i="1"/>
  <c r="C9" i="1"/>
  <c r="D9" i="1"/>
  <c r="E9" i="1"/>
  <c r="F9" i="1"/>
  <c r="G9" i="1"/>
  <c r="H9" i="1"/>
  <c r="I9" i="1"/>
  <c r="J9" i="1"/>
  <c r="A10" i="1"/>
  <c r="B10" i="1"/>
  <c r="C10" i="1"/>
  <c r="D10" i="1"/>
  <c r="E10" i="1"/>
  <c r="F10" i="1"/>
  <c r="G10" i="1"/>
  <c r="H10" i="1"/>
  <c r="I10" i="1"/>
  <c r="J10" i="1"/>
  <c r="A11" i="1"/>
  <c r="B11" i="1"/>
  <c r="C11" i="1"/>
  <c r="D11" i="1"/>
  <c r="E11" i="1"/>
  <c r="F11" i="1"/>
  <c r="G11" i="1"/>
  <c r="H11" i="1"/>
  <c r="I11" i="1"/>
  <c r="J11" i="1"/>
  <c r="B2" i="1"/>
  <c r="C2" i="1"/>
  <c r="D2" i="1"/>
  <c r="E2" i="1"/>
  <c r="F2" i="1"/>
  <c r="G2" i="1"/>
  <c r="H2" i="1"/>
  <c r="I2" i="1"/>
  <c r="J2" i="1"/>
  <c r="A2" i="1"/>
  <c r="L14" i="3" l="1"/>
  <c r="C18" i="3"/>
  <c r="D18" i="3"/>
  <c r="E18" i="3"/>
  <c r="F18" i="3"/>
  <c r="G18" i="3"/>
  <c r="H18" i="3"/>
  <c r="I18" i="3"/>
  <c r="B18" i="3"/>
  <c r="B18" i="1"/>
  <c r="C18" i="1"/>
  <c r="D18" i="1"/>
  <c r="E18" i="1"/>
  <c r="F18" i="1"/>
  <c r="G18" i="1"/>
  <c r="H18" i="1"/>
  <c r="I18" i="1"/>
  <c r="J18" i="1"/>
  <c r="L10" i="1" l="1"/>
  <c r="K9" i="3"/>
  <c r="K10" i="3"/>
  <c r="L11" i="1"/>
  <c r="K11" i="3"/>
  <c r="L9" i="1"/>
  <c r="K2" i="3"/>
  <c r="L5" i="1"/>
  <c r="L7" i="1"/>
  <c r="K7" i="3"/>
  <c r="K8" i="3"/>
  <c r="L6" i="1"/>
  <c r="K4" i="3"/>
  <c r="K6" i="3"/>
  <c r="K5" i="3"/>
  <c r="L3" i="1"/>
  <c r="L8" i="1"/>
  <c r="L4" i="1"/>
  <c r="K3" i="3"/>
  <c r="L2" i="1"/>
  <c r="K14" i="3" l="1"/>
  <c r="L14" i="1"/>
  <c r="L18" i="1"/>
  <c r="L18" i="3"/>
  <c r="K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BBEAF7-A3DE-49B6-9C02-D53C736128B0}" keepAlive="1" name="Query - T-All_K1 N10 P20" description="Connection to the 'T-All_K1 N10 P20' query in the workbook." type="5" refreshedVersion="8" background="1" saveData="1">
    <dbPr connection="Provider=Microsoft.Mashup.OleDb.1;Data Source=$Workbook$;Location=&quot;T-All_K1 N10 P20&quot;;Extended Properties=&quot;&quot;" command="SELECT * FROM [T-All_K1 N10 P20]"/>
  </connection>
</connections>
</file>

<file path=xl/sharedStrings.xml><?xml version="1.0" encoding="utf-8"?>
<sst xmlns="http://schemas.openxmlformats.org/spreadsheetml/2006/main" count="50" uniqueCount="39">
  <si>
    <t>Identifier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</si>
  <si>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</si>
  <si>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</si>
  <si>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</si>
  <si>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</si>
  <si>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</si>
  <si>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</si>
  <si>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</si>
  <si>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</si>
  <si>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</si>
  <si>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</si>
  <si>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</si>
  <si>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 Squared</t>
  </si>
  <si>
    <t>Ave RSQ</t>
  </si>
  <si>
    <t>RSQ of Ave</t>
  </si>
  <si>
    <t>T Averages</t>
  </si>
  <si>
    <t>ID</t>
  </si>
  <si>
    <t>0-1</t>
  </si>
  <si>
    <t>1-2</t>
  </si>
  <si>
    <t>2-3</t>
  </si>
  <si>
    <t>3-4</t>
  </si>
  <si>
    <t>4-5</t>
  </si>
  <si>
    <t>5-6</t>
  </si>
  <si>
    <t>6-7</t>
  </si>
  <si>
    <t>7-8</t>
  </si>
  <si>
    <t>Average</t>
  </si>
  <si>
    <t>Max-Min</t>
  </si>
  <si>
    <t>Average per Timestep</t>
  </si>
  <si>
    <t>Average per ID</t>
  </si>
  <si>
    <t>d82c3f0002ac3c062052d430c5bd2d0a4ed32c12c523fcc2d5e1d2cf17b4e72c</t>
  </si>
  <si>
    <t>855e259e02a63b623b190911a82fcb9920eebc4405cf4847d632228c656415d9</t>
  </si>
  <si>
    <t>846f886ebf155ac6ef0875a02a747d204226e425bde6ab068a6f0083535b5530</t>
  </si>
  <si>
    <t>57891eec13b2904bde177a97333fd5fa2249b74feca7918f623f891a55058319</t>
  </si>
  <si>
    <t>0263943f9249cdffb1248564f0f59741ba099e981648af059990174bfb7e5890</t>
  </si>
  <si>
    <t>d2a1eed1dae13c28848430bd2101b46c9102eee39467901d633f7b7baa6b7bbf</t>
  </si>
  <si>
    <t>53d77db66f4175f80873513eee2510cae3e165e9dbb48896e4d28b2a48d2ada0</t>
  </si>
  <si>
    <t>46fee1278e888854ce208e81b7cc5c289a1668508518e664977ba916383931f7</t>
  </si>
  <si>
    <t>63f9bc28eb30b012f95e6a9983ffac62d0b5bec603e0c00b9edfac63c603a0f2</t>
  </si>
  <si>
    <t>943ebe6fbe2a60b78a2458579c0859373f918de1fccbeb14085bec76ae66b964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</si>
</sst>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0" xfId="0" applyFont="1"/>
    <xf numFmtId="2" fontId="0" fillId="0" borderId="0" xfId="0" applyNumberForma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CC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E97FB7-FF0E-42A2-A74A-65576362A564}" autoFormatId="16" applyNumberFormats="0" applyBorderFormats="0" applyFontFormats="0" applyPatternFormats="0" applyAlignmentFormats="0" applyWidthHeightFormats="0">
  <queryTableRefresh nextId="13">
    <queryTableFields count="12">
      <queryTableField id="1" name="Identifier" tableColumnId="1"/>
      <queryTableField id="2" name="0" tableColumnId="2"/>
      <queryTableField id="3" name="1" tableColumnId="3"/>
      <queryTableField id="4" name="2" tableColumnId="4"/>
      <queryTableField id="5" name="3" tableColumnId="5"/>
      <queryTableField id="6" name="4" tableColumnId="6"/>
      <queryTableField id="7" name="5" tableColumnId="7"/>
      <queryTableField id="8" name="6" tableColumnId="8"/>
      <queryTableField id="9" name="7" tableColumnId="9"/>
      <queryTableField id="10" name="8" tableColumnId="10"/>
      <queryTableField id="11" name="9" tableColumnId="11"/>
      <queryTableField id="12" name="1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3C0CA-B7BE-4050-ACA4-285D53590628}" name="T_All_K1_N10_P20" displayName="T_All_K1_N10_P20" ref="A1:L11" tableType="queryTable" totalsRowShown="0">
  <autoFilter ref="A1:L11" xr:uid="{0663C0CA-B7BE-4050-ACA4-285D53590628}"/>
  <tableColumns count="12">
    <tableColumn id="1" xr3:uid="{68985491-37DB-47AB-8C41-6E753D7533A3}" uniqueName="1" name="Identifier" queryTableFieldId="1" dataDxfId="0"/>
    <tableColumn id="2" xr3:uid="{7AC80247-4815-4BA0-866B-E27B5D6D24B0}" uniqueName="2" name="0" queryTableFieldId="2"/>
    <tableColumn id="3" xr3:uid="{74745868-5D28-4757-8439-83FBB69F1E11}" uniqueName="3" name="1" queryTableFieldId="3"/>
    <tableColumn id="4" xr3:uid="{C268555D-C3C9-428A-A94C-C79941933234}" uniqueName="4" name="2" queryTableFieldId="4"/>
    <tableColumn id="5" xr3:uid="{2227A140-1625-416C-A2FC-DE599F88A815}" uniqueName="5" name="3" queryTableFieldId="5"/>
    <tableColumn id="6" xr3:uid="{34E6C0BB-D9C1-4D3B-BE77-6A2D70DC3948}" uniqueName="6" name="4" queryTableFieldId="6"/>
    <tableColumn id="7" xr3:uid="{289A9260-7BD5-429B-9A00-F47B72A33C67}" uniqueName="7" name="5" queryTableFieldId="7"/>
    <tableColumn id="8" xr3:uid="{8457A19A-6D47-4E6F-B0D3-C0F5860436FA}" uniqueName="8" name="6" queryTableFieldId="8"/>
    <tableColumn id="9" xr3:uid="{08AB75AE-A942-4508-AD26-9391047F9F33}" uniqueName="9" name="7" queryTableFieldId="9"/>
    <tableColumn id="10" xr3:uid="{32657565-3638-47A3-9F88-0FDA245DC671}" uniqueName="10" name="8" queryTableFieldId="10"/>
    <tableColumn id="11" xr3:uid="{AAE04547-79C2-4481-B5DA-0ACDEA310114}" uniqueName="11" name="9" queryTableFieldId="11"/>
    <tableColumn id="12" xr3:uid="{4F553342-B341-4232-8ADA-91E4D1654A7C}" uniqueName="12" name="10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9E39-F17B-420D-8A39-B7DB4C43BD7F}">
  <dimension ref="A1:L11"/>
  <sheetViews>
    <sheetView tabSelected="1" workbookViewId="0">
      <selection activeCell="A33" sqref="A33"/>
    </sheetView>
  </sheetViews>
  <sheetFormatPr defaultRowHeight="15" x14ac:dyDescent="0.25"/>
  <cols>
    <col min="1" max="1" width="68.42578125" bestFit="1" customWidth="1"/>
    <col min="2" max="10" width="12" bestFit="1" customWidth="1"/>
    <col min="11" max="11" width="4.28515625" bestFit="1" customWidth="1"/>
    <col min="12" max="12" width="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8" t="s">
        <v>29</v>
      </c>
      <c r="B2">
        <v>5.9194924462144698</v>
      </c>
      <c r="C2">
        <v>2.9762169135422529</v>
      </c>
      <c r="D2">
        <v>5.7993724720359578</v>
      </c>
      <c r="E2">
        <v>7.6888104142444069</v>
      </c>
      <c r="F2">
        <v>6.7940700806366019</v>
      </c>
      <c r="G2">
        <v>4.8379445308233908</v>
      </c>
      <c r="H2">
        <v>5.585331279923583</v>
      </c>
      <c r="I2">
        <v>4.8050847425791758</v>
      </c>
      <c r="J2">
        <v>4.6286584635263317</v>
      </c>
    </row>
    <row r="3" spans="1:12" x14ac:dyDescent="0.25">
      <c r="A3" s="8" t="s">
        <v>30</v>
      </c>
      <c r="B3">
        <v>7.3379710342577154</v>
      </c>
      <c r="C3">
        <v>4.3574160976087208</v>
      </c>
      <c r="D3">
        <v>6.5095837649351331</v>
      </c>
      <c r="E3">
        <v>5.4495696330300811</v>
      </c>
      <c r="F3">
        <v>5.5298955498769615</v>
      </c>
      <c r="G3">
        <v>4.7437180758897002</v>
      </c>
      <c r="H3">
        <v>2.2588055497604942</v>
      </c>
      <c r="I3">
        <v>6.363009438880141</v>
      </c>
      <c r="J3">
        <v>6.6846352568858913</v>
      </c>
    </row>
    <row r="4" spans="1:12" x14ac:dyDescent="0.25">
      <c r="A4" s="8" t="s">
        <v>31</v>
      </c>
      <c r="B4">
        <v>2.5092591875983201</v>
      </c>
      <c r="C4">
        <v>4.3263270598883627</v>
      </c>
      <c r="D4">
        <v>5.3604368552218649</v>
      </c>
      <c r="E4">
        <v>3.9468368487339958</v>
      </c>
      <c r="F4">
        <v>2.3635105026850853</v>
      </c>
      <c r="G4">
        <v>6.3059220409241137</v>
      </c>
      <c r="H4">
        <v>3.7081693292680642</v>
      </c>
      <c r="I4">
        <v>2.547287286527312</v>
      </c>
      <c r="J4">
        <v>3.4556815544603166</v>
      </c>
    </row>
    <row r="5" spans="1:12" x14ac:dyDescent="0.25">
      <c r="A5" s="8" t="s">
        <v>32</v>
      </c>
      <c r="B5">
        <v>9.4171834000130978</v>
      </c>
      <c r="C5">
        <v>14.795866808021547</v>
      </c>
      <c r="D5">
        <v>7.504432769169048</v>
      </c>
      <c r="E5">
        <v>4.9670637228574455</v>
      </c>
      <c r="F5">
        <v>10.51928969483966</v>
      </c>
      <c r="G5">
        <v>10.262360349838932</v>
      </c>
      <c r="H5">
        <v>10.70126995972679</v>
      </c>
      <c r="I5">
        <v>8.6331627535151156</v>
      </c>
      <c r="J5">
        <v>10.278914809594667</v>
      </c>
    </row>
    <row r="6" spans="1:12" x14ac:dyDescent="0.25">
      <c r="A6" s="8" t="s">
        <v>33</v>
      </c>
      <c r="B6">
        <v>12.013943625075319</v>
      </c>
      <c r="C6">
        <v>6.4934250303851861</v>
      </c>
      <c r="D6">
        <v>6.8793884639009635</v>
      </c>
      <c r="E6">
        <v>6.6307724517529119</v>
      </c>
      <c r="F6">
        <v>14.09341021400664</v>
      </c>
      <c r="G6">
        <v>10.686093676185767</v>
      </c>
      <c r="H6">
        <v>11.970937453548538</v>
      </c>
      <c r="I6">
        <v>10.577255306189226</v>
      </c>
      <c r="J6">
        <v>11.889469731131001</v>
      </c>
    </row>
    <row r="7" spans="1:12" x14ac:dyDescent="0.25">
      <c r="A7" s="8" t="s">
        <v>34</v>
      </c>
      <c r="B7">
        <v>5.1916563785973686</v>
      </c>
      <c r="C7">
        <v>5.8735127772546489</v>
      </c>
      <c r="D7">
        <v>2.38318207862187</v>
      </c>
      <c r="E7">
        <v>4.9259263095890278</v>
      </c>
      <c r="F7">
        <v>4.9780689710865955</v>
      </c>
      <c r="G7">
        <v>4.7529970927288474</v>
      </c>
      <c r="H7">
        <v>3.3123786973264071</v>
      </c>
      <c r="I7">
        <v>7.8115148382170627</v>
      </c>
      <c r="J7">
        <v>8.7818537427204415</v>
      </c>
    </row>
    <row r="8" spans="1:12" x14ac:dyDescent="0.25">
      <c r="A8" s="8" t="s">
        <v>35</v>
      </c>
      <c r="B8">
        <v>3.4032583751910175</v>
      </c>
      <c r="C8">
        <v>4.8673294455354448</v>
      </c>
      <c r="D8">
        <v>0.80241542001310118</v>
      </c>
      <c r="E8">
        <v>4.6559324484257125</v>
      </c>
      <c r="F8">
        <v>5.6233485373739258</v>
      </c>
      <c r="G8">
        <v>4.0925190366896436</v>
      </c>
      <c r="H8">
        <v>4.872050047707261</v>
      </c>
      <c r="I8">
        <v>5.520604511791114</v>
      </c>
      <c r="J8">
        <v>3.8386464196285384</v>
      </c>
    </row>
    <row r="9" spans="1:12" x14ac:dyDescent="0.25">
      <c r="A9" s="8" t="s">
        <v>36</v>
      </c>
      <c r="B9">
        <v>10.046650793650793</v>
      </c>
      <c r="C9">
        <v>6.9845634920634954</v>
      </c>
      <c r="D9">
        <v>6.5437149124104765</v>
      </c>
      <c r="E9">
        <v>9.2124236399811696</v>
      </c>
      <c r="F9">
        <v>6.1561254810030093</v>
      </c>
      <c r="G9">
        <v>11.053356641639487</v>
      </c>
      <c r="H9">
        <v>10.633401218015738</v>
      </c>
      <c r="I9">
        <v>3.9556655841193469</v>
      </c>
      <c r="J9">
        <v>6.5265761257904407</v>
      </c>
    </row>
    <row r="10" spans="1:12" x14ac:dyDescent="0.25">
      <c r="A10" s="8" t="s">
        <v>37</v>
      </c>
      <c r="B10">
        <v>6.2862862929560652</v>
      </c>
      <c r="C10">
        <v>3.5966111130172504</v>
      </c>
      <c r="D10">
        <v>3.2518950290541007</v>
      </c>
      <c r="E10">
        <v>3.7474374587481969</v>
      </c>
      <c r="F10">
        <v>7.8814468150843027</v>
      </c>
      <c r="G10">
        <v>4.6316669656239036</v>
      </c>
      <c r="H10">
        <v>3.8444484679518443</v>
      </c>
      <c r="I10">
        <v>5.3380280466130863</v>
      </c>
      <c r="J10">
        <v>5.8865598110723285</v>
      </c>
    </row>
    <row r="11" spans="1:12" x14ac:dyDescent="0.25">
      <c r="A11" s="8" t="s">
        <v>38</v>
      </c>
      <c r="B11">
        <v>1.7424192259230831</v>
      </c>
      <c r="C11">
        <v>2.5142692939661573</v>
      </c>
      <c r="D11">
        <v>5.377741095771098</v>
      </c>
      <c r="E11">
        <v>4.2086598395036718</v>
      </c>
      <c r="F11">
        <v>2.6983301102694295</v>
      </c>
      <c r="G11">
        <v>5.1061115005090407</v>
      </c>
      <c r="H11">
        <v>6.2096607900269563</v>
      </c>
      <c r="I11">
        <v>4.3899931343306271</v>
      </c>
      <c r="J11">
        <v>5.5681037594684133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A63F-D7AF-43CF-B6E6-E01A84121C52}">
  <dimension ref="A1:L18"/>
  <sheetViews>
    <sheetView zoomScale="130" zoomScaleNormal="130" workbookViewId="0">
      <selection activeCell="M16" sqref="M16"/>
    </sheetView>
  </sheetViews>
  <sheetFormatPr defaultRowHeight="15" x14ac:dyDescent="0.25"/>
  <cols>
    <col min="1" max="1" width="20.42578125" customWidth="1"/>
  </cols>
  <sheetData>
    <row r="1" spans="1:12" x14ac:dyDescent="0.25">
      <c r="A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L1" s="2" t="s">
        <v>12</v>
      </c>
    </row>
    <row r="2" spans="1:12" x14ac:dyDescent="0.25">
      <c r="A2" t="str">
        <f>T_All_K1_N10_P20[[#This Row],[Identifier]]</f>
        <v>d82c3f0002ac3c062052d430c5bd2d0a4ed32c12c523fcc2d5e1d2cf17b4e72c</v>
      </c>
      <c r="B2">
        <f>T_All_K1_N10_P20[[#This Row],[0]]</f>
        <v>5.9194924462144698</v>
      </c>
      <c r="C2">
        <f>T_All_K1_N10_P20[[#This Row],[1]]</f>
        <v>2.9762169135422529</v>
      </c>
      <c r="D2">
        <f>T_All_K1_N10_P20[[#This Row],[2]]</f>
        <v>5.7993724720359578</v>
      </c>
      <c r="E2">
        <f>T_All_K1_N10_P20[[#This Row],[3]]</f>
        <v>7.6888104142444069</v>
      </c>
      <c r="F2">
        <f>T_All_K1_N10_P20[[#This Row],[4]]</f>
        <v>6.7940700806366019</v>
      </c>
      <c r="G2">
        <f>T_All_K1_N10_P20[[#This Row],[5]]</f>
        <v>4.8379445308233908</v>
      </c>
      <c r="H2">
        <f>T_All_K1_N10_P20[[#This Row],[6]]</f>
        <v>5.585331279923583</v>
      </c>
      <c r="I2">
        <f>T_All_K1_N10_P20[[#This Row],[7]]</f>
        <v>4.8050847425791758</v>
      </c>
      <c r="J2">
        <f>T_All_K1_N10_P20[[#This Row],[8]]</f>
        <v>4.6286584635263317</v>
      </c>
      <c r="L2" s="3">
        <f t="shared" ref="L2:L11" si="0">RSQ(B2:J2,$B$1:$J$1)</f>
        <v>9.8616787257011923E-3</v>
      </c>
    </row>
    <row r="3" spans="1:12" x14ac:dyDescent="0.25">
      <c r="A3" t="str">
        <f>T_All_K1_N10_P20[[#This Row],[Identifier]]</f>
        <v>855e259e02a63b623b190911a82fcb9920eebc4405cf4847d632228c656415d9</v>
      </c>
      <c r="B3">
        <f>T_All_K1_N10_P20[[#This Row],[0]]</f>
        <v>7.3379710342577154</v>
      </c>
      <c r="C3">
        <f>T_All_K1_N10_P20[[#This Row],[1]]</f>
        <v>4.3574160976087208</v>
      </c>
      <c r="D3">
        <f>T_All_K1_N10_P20[[#This Row],[2]]</f>
        <v>6.5095837649351331</v>
      </c>
      <c r="E3">
        <f>T_All_K1_N10_P20[[#This Row],[3]]</f>
        <v>5.4495696330300811</v>
      </c>
      <c r="F3">
        <f>T_All_K1_N10_P20[[#This Row],[4]]</f>
        <v>5.5298955498769615</v>
      </c>
      <c r="G3">
        <f>T_All_K1_N10_P20[[#This Row],[5]]</f>
        <v>4.7437180758897002</v>
      </c>
      <c r="H3">
        <f>T_All_K1_N10_P20[[#This Row],[6]]</f>
        <v>2.2588055497604942</v>
      </c>
      <c r="I3">
        <f>T_All_K1_N10_P20[[#This Row],[7]]</f>
        <v>6.363009438880141</v>
      </c>
      <c r="J3">
        <f>T_All_K1_N10_P20[[#This Row],[8]]</f>
        <v>6.6846352568858913</v>
      </c>
      <c r="L3" s="3">
        <f t="shared" si="0"/>
        <v>2.9667934324805183E-2</v>
      </c>
    </row>
    <row r="4" spans="1:12" x14ac:dyDescent="0.25">
      <c r="A4" t="str">
        <f>T_All_K1_N10_P20[[#This Row],[Identifier]]</f>
        <v>846f886ebf155ac6ef0875a02a747d204226e425bde6ab068a6f0083535b5530</v>
      </c>
      <c r="B4">
        <f>T_All_K1_N10_P20[[#This Row],[0]]</f>
        <v>2.5092591875983201</v>
      </c>
      <c r="C4">
        <f>T_All_K1_N10_P20[[#This Row],[1]]</f>
        <v>4.3263270598883627</v>
      </c>
      <c r="D4">
        <f>T_All_K1_N10_P20[[#This Row],[2]]</f>
        <v>5.3604368552218649</v>
      </c>
      <c r="E4">
        <f>T_All_K1_N10_P20[[#This Row],[3]]</f>
        <v>3.9468368487339958</v>
      </c>
      <c r="F4">
        <f>T_All_K1_N10_P20[[#This Row],[4]]</f>
        <v>2.3635105026850853</v>
      </c>
      <c r="G4">
        <f>T_All_K1_N10_P20[[#This Row],[5]]</f>
        <v>6.3059220409241137</v>
      </c>
      <c r="H4">
        <f>T_All_K1_N10_P20[[#This Row],[6]]</f>
        <v>3.7081693292680642</v>
      </c>
      <c r="I4">
        <f>T_All_K1_N10_P20[[#This Row],[7]]</f>
        <v>2.547287286527312</v>
      </c>
      <c r="J4">
        <f>T_All_K1_N10_P20[[#This Row],[8]]</f>
        <v>3.4556815544603166</v>
      </c>
      <c r="L4" s="3">
        <f t="shared" si="0"/>
        <v>7.2020675309999328E-3</v>
      </c>
    </row>
    <row r="5" spans="1:12" x14ac:dyDescent="0.25">
      <c r="A5" t="str">
        <f>T_All_K1_N10_P20[[#This Row],[Identifier]]</f>
        <v>57891eec13b2904bde177a97333fd5fa2249b74feca7918f623f891a55058319</v>
      </c>
      <c r="B5">
        <f>T_All_K1_N10_P20[[#This Row],[0]]</f>
        <v>9.4171834000130978</v>
      </c>
      <c r="C5">
        <f>T_All_K1_N10_P20[[#This Row],[1]]</f>
        <v>14.795866808021547</v>
      </c>
      <c r="D5">
        <f>T_All_K1_N10_P20[[#This Row],[2]]</f>
        <v>7.504432769169048</v>
      </c>
      <c r="E5">
        <f>T_All_K1_N10_P20[[#This Row],[3]]</f>
        <v>4.9670637228574455</v>
      </c>
      <c r="F5">
        <f>T_All_K1_N10_P20[[#This Row],[4]]</f>
        <v>10.51928969483966</v>
      </c>
      <c r="G5">
        <f>T_All_K1_N10_P20[[#This Row],[5]]</f>
        <v>10.262360349838932</v>
      </c>
      <c r="H5">
        <f>T_All_K1_N10_P20[[#This Row],[6]]</f>
        <v>10.70126995972679</v>
      </c>
      <c r="I5">
        <f>T_All_K1_N10_P20[[#This Row],[7]]</f>
        <v>8.6331627535151156</v>
      </c>
      <c r="J5">
        <f>T_All_K1_N10_P20[[#This Row],[8]]</f>
        <v>10.278914809594667</v>
      </c>
      <c r="L5" s="3">
        <f t="shared" si="0"/>
        <v>3.3015899913176874E-3</v>
      </c>
    </row>
    <row r="6" spans="1:12" x14ac:dyDescent="0.25">
      <c r="A6" t="str">
        <f>T_All_K1_N10_P20[[#This Row],[Identifier]]</f>
        <v>0263943f9249cdffb1248564f0f59741ba099e981648af059990174bfb7e5890</v>
      </c>
      <c r="B6">
        <f>T_All_K1_N10_P20[[#This Row],[0]]</f>
        <v>12.013943625075319</v>
      </c>
      <c r="C6">
        <f>T_All_K1_N10_P20[[#This Row],[1]]</f>
        <v>6.4934250303851861</v>
      </c>
      <c r="D6">
        <f>T_All_K1_N10_P20[[#This Row],[2]]</f>
        <v>6.8793884639009635</v>
      </c>
      <c r="E6">
        <f>T_All_K1_N10_P20[[#This Row],[3]]</f>
        <v>6.6307724517529119</v>
      </c>
      <c r="F6">
        <f>T_All_K1_N10_P20[[#This Row],[4]]</f>
        <v>14.09341021400664</v>
      </c>
      <c r="G6">
        <f>T_All_K1_N10_P20[[#This Row],[5]]</f>
        <v>10.686093676185767</v>
      </c>
      <c r="H6">
        <f>T_All_K1_N10_P20[[#This Row],[6]]</f>
        <v>11.970937453548538</v>
      </c>
      <c r="I6">
        <f>T_All_K1_N10_P20[[#This Row],[7]]</f>
        <v>10.577255306189226</v>
      </c>
      <c r="J6">
        <f>T_All_K1_N10_P20[[#This Row],[8]]</f>
        <v>11.889469731131001</v>
      </c>
      <c r="L6" s="3">
        <f t="shared" si="0"/>
        <v>0.18077142027617804</v>
      </c>
    </row>
    <row r="7" spans="1:12" x14ac:dyDescent="0.25">
      <c r="A7" t="str">
        <f>T_All_K1_N10_P20[[#This Row],[Identifier]]</f>
        <v>d2a1eed1dae13c28848430bd2101b46c9102eee39467901d633f7b7baa6b7bbf</v>
      </c>
      <c r="B7">
        <f>T_All_K1_N10_P20[[#This Row],[0]]</f>
        <v>5.1916563785973686</v>
      </c>
      <c r="C7">
        <f>T_All_K1_N10_P20[[#This Row],[1]]</f>
        <v>5.8735127772546489</v>
      </c>
      <c r="D7">
        <f>T_All_K1_N10_P20[[#This Row],[2]]</f>
        <v>2.38318207862187</v>
      </c>
      <c r="E7">
        <f>T_All_K1_N10_P20[[#This Row],[3]]</f>
        <v>4.9259263095890278</v>
      </c>
      <c r="F7">
        <f>T_All_K1_N10_P20[[#This Row],[4]]</f>
        <v>4.9780689710865955</v>
      </c>
      <c r="G7">
        <f>T_All_K1_N10_P20[[#This Row],[5]]</f>
        <v>4.7529970927288474</v>
      </c>
      <c r="H7">
        <f>T_All_K1_N10_P20[[#This Row],[6]]</f>
        <v>3.3123786973264071</v>
      </c>
      <c r="I7">
        <f>T_All_K1_N10_P20[[#This Row],[7]]</f>
        <v>7.8115148382170627</v>
      </c>
      <c r="J7">
        <f>T_All_K1_N10_P20[[#This Row],[8]]</f>
        <v>8.7818537427204415</v>
      </c>
      <c r="L7" s="3">
        <f t="shared" si="0"/>
        <v>0.25075483616423594</v>
      </c>
    </row>
    <row r="8" spans="1:12" x14ac:dyDescent="0.25">
      <c r="A8" t="str">
        <f>T_All_K1_N10_P20[[#This Row],[Identifier]]</f>
        <v>53d77db66f4175f80873513eee2510cae3e165e9dbb48896e4d28b2a48d2ada0</v>
      </c>
      <c r="B8">
        <f>T_All_K1_N10_P20[[#This Row],[0]]</f>
        <v>3.4032583751910175</v>
      </c>
      <c r="C8">
        <f>T_All_K1_N10_P20[[#This Row],[1]]</f>
        <v>4.8673294455354448</v>
      </c>
      <c r="D8">
        <f>T_All_K1_N10_P20[[#This Row],[2]]</f>
        <v>0.80241542001310118</v>
      </c>
      <c r="E8">
        <f>T_All_K1_N10_P20[[#This Row],[3]]</f>
        <v>4.6559324484257125</v>
      </c>
      <c r="F8">
        <f>T_All_K1_N10_P20[[#This Row],[4]]</f>
        <v>5.6233485373739258</v>
      </c>
      <c r="G8">
        <f>T_All_K1_N10_P20[[#This Row],[5]]</f>
        <v>4.0925190366896436</v>
      </c>
      <c r="H8">
        <f>T_All_K1_N10_P20[[#This Row],[6]]</f>
        <v>4.872050047707261</v>
      </c>
      <c r="I8">
        <f>T_All_K1_N10_P20[[#This Row],[7]]</f>
        <v>5.520604511791114</v>
      </c>
      <c r="J8">
        <f>T_All_K1_N10_P20[[#This Row],[8]]</f>
        <v>3.8386464196285384</v>
      </c>
      <c r="L8" s="3">
        <f t="shared" si="0"/>
        <v>0.1232786138042149</v>
      </c>
    </row>
    <row r="9" spans="1:12" x14ac:dyDescent="0.25">
      <c r="A9" t="str">
        <f>T_All_K1_N10_P20[[#This Row],[Identifier]]</f>
        <v>46fee1278e888854ce208e81b7cc5c289a1668508518e664977ba916383931f7</v>
      </c>
      <c r="B9">
        <f>T_All_K1_N10_P20[[#This Row],[0]]</f>
        <v>10.046650793650793</v>
      </c>
      <c r="C9">
        <f>T_All_K1_N10_P20[[#This Row],[1]]</f>
        <v>6.9845634920634954</v>
      </c>
      <c r="D9">
        <f>T_All_K1_N10_P20[[#This Row],[2]]</f>
        <v>6.5437149124104765</v>
      </c>
      <c r="E9">
        <f>T_All_K1_N10_P20[[#This Row],[3]]</f>
        <v>9.2124236399811696</v>
      </c>
      <c r="F9">
        <f>T_All_K1_N10_P20[[#This Row],[4]]</f>
        <v>6.1561254810030093</v>
      </c>
      <c r="G9">
        <f>T_All_K1_N10_P20[[#This Row],[5]]</f>
        <v>11.053356641639487</v>
      </c>
      <c r="H9">
        <f>T_All_K1_N10_P20[[#This Row],[6]]</f>
        <v>10.633401218015738</v>
      </c>
      <c r="I9">
        <f>T_All_K1_N10_P20[[#This Row],[7]]</f>
        <v>3.9556655841193469</v>
      </c>
      <c r="J9">
        <f>T_All_K1_N10_P20[[#This Row],[8]]</f>
        <v>6.5265761257904407</v>
      </c>
      <c r="L9" s="3">
        <f t="shared" si="0"/>
        <v>6.1408838158754496E-2</v>
      </c>
    </row>
    <row r="10" spans="1:12" x14ac:dyDescent="0.25">
      <c r="A10" t="str">
        <f>T_All_K1_N10_P20[[#This Row],[Identifier]]</f>
        <v>63f9bc28eb30b012f95e6a9983ffac62d0b5bec603e0c00b9edfac63c603a0f2</v>
      </c>
      <c r="B10">
        <f>T_All_K1_N10_P20[[#This Row],[0]]</f>
        <v>6.2862862929560652</v>
      </c>
      <c r="C10">
        <f>T_All_K1_N10_P20[[#This Row],[1]]</f>
        <v>3.5966111130172504</v>
      </c>
      <c r="D10">
        <f>T_All_K1_N10_P20[[#This Row],[2]]</f>
        <v>3.2518950290541007</v>
      </c>
      <c r="E10">
        <f>T_All_K1_N10_P20[[#This Row],[3]]</f>
        <v>3.7474374587481969</v>
      </c>
      <c r="F10">
        <f>T_All_K1_N10_P20[[#This Row],[4]]</f>
        <v>7.8814468150843027</v>
      </c>
      <c r="G10">
        <f>T_All_K1_N10_P20[[#This Row],[5]]</f>
        <v>4.6316669656239036</v>
      </c>
      <c r="H10">
        <f>T_All_K1_N10_P20[[#This Row],[6]]</f>
        <v>3.8444484679518443</v>
      </c>
      <c r="I10">
        <f>T_All_K1_N10_P20[[#This Row],[7]]</f>
        <v>5.3380280466130863</v>
      </c>
      <c r="J10">
        <f>T_All_K1_N10_P20[[#This Row],[8]]</f>
        <v>5.8865598110723285</v>
      </c>
      <c r="L10" s="3">
        <f t="shared" si="0"/>
        <v>2.861113192878427E-2</v>
      </c>
    </row>
    <row r="11" spans="1:12" x14ac:dyDescent="0.25">
      <c r="A11" t="str">
        <f>T_All_K1_N10_P20[[#This Row],[Identifier]]</f>
        <v>943ebe6fbe2a60b78a2458579c0859373f918de1fccbeb14085bec76ae66b964</v>
      </c>
      <c r="B11">
        <f>T_All_K1_N10_P20[[#This Row],[0]]</f>
        <v>1.7424192259230831</v>
      </c>
      <c r="C11">
        <f>T_All_K1_N10_P20[[#This Row],[1]]</f>
        <v>2.5142692939661573</v>
      </c>
      <c r="D11">
        <f>T_All_K1_N10_P20[[#This Row],[2]]</f>
        <v>5.377741095771098</v>
      </c>
      <c r="E11">
        <f>T_All_K1_N10_P20[[#This Row],[3]]</f>
        <v>4.2086598395036718</v>
      </c>
      <c r="F11">
        <f>T_All_K1_N10_P20[[#This Row],[4]]</f>
        <v>2.6983301102694295</v>
      </c>
      <c r="G11">
        <f>T_All_K1_N10_P20[[#This Row],[5]]</f>
        <v>5.1061115005090407</v>
      </c>
      <c r="H11">
        <f>T_All_K1_N10_P20[[#This Row],[6]]</f>
        <v>6.2096607900269563</v>
      </c>
      <c r="I11">
        <f>T_All_K1_N10_P20[[#This Row],[7]]</f>
        <v>4.3899931343306271</v>
      </c>
      <c r="J11">
        <f>T_All_K1_N10_P20[[#This Row],[8]]</f>
        <v>5.5681037594684133</v>
      </c>
      <c r="L11" s="3">
        <f t="shared" si="0"/>
        <v>0.47676244459676342</v>
      </c>
    </row>
    <row r="14" spans="1:12" x14ac:dyDescent="0.25">
      <c r="K14" s="2" t="s">
        <v>13</v>
      </c>
      <c r="L14" s="3">
        <f>AVERAGE(L2:L11)</f>
        <v>0.11716205555017552</v>
      </c>
    </row>
    <row r="15" spans="1:12" x14ac:dyDescent="0.25">
      <c r="L15" s="3"/>
    </row>
    <row r="16" spans="1:12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6" t="s">
        <v>14</v>
      </c>
    </row>
    <row r="18" spans="1:12" x14ac:dyDescent="0.25">
      <c r="A18" s="6" t="s">
        <v>15</v>
      </c>
      <c r="B18" s="5">
        <f>AVERAGE(B2:B11)</f>
        <v>6.3868120759477245</v>
      </c>
      <c r="C18" s="5">
        <f t="shared" ref="C18:J18" si="1">AVERAGE(C2:C11)</f>
        <v>5.6785538031283069</v>
      </c>
      <c r="D18" s="5">
        <f t="shared" si="1"/>
        <v>5.0412162861133627</v>
      </c>
      <c r="E18" s="5">
        <f t="shared" si="1"/>
        <v>5.5433432766866622</v>
      </c>
      <c r="F18" s="5">
        <f t="shared" si="1"/>
        <v>6.6637495956862214</v>
      </c>
      <c r="G18" s="5">
        <f t="shared" si="1"/>
        <v>6.6472689910852836</v>
      </c>
      <c r="H18" s="5">
        <f t="shared" si="1"/>
        <v>6.3096452793255686</v>
      </c>
      <c r="I18" s="5">
        <f t="shared" si="1"/>
        <v>5.9941605642762195</v>
      </c>
      <c r="J18" s="5">
        <f t="shared" si="1"/>
        <v>6.7539099674278376</v>
      </c>
      <c r="K18" s="5"/>
      <c r="L18" s="5">
        <f>RSQ(B1:J1,B18:J18)</f>
        <v>0.21914372558586301</v>
      </c>
    </row>
  </sheetData>
  <conditionalFormatting sqref="L1:L1048576">
    <cfRule type="containsBlanks" dxfId="8" priority="1">
      <formula>LEN(TRIM(L1))=0</formula>
    </cfRule>
    <cfRule type="cellIs" dxfId="7" priority="2" operator="between">
      <formula>0</formula>
      <formula>0.1</formula>
    </cfRule>
    <cfRule type="cellIs" dxfId="6" priority="3" operator="greaterThan">
      <formula>0.2</formula>
    </cfRule>
    <cfRule type="cellIs" dxfId="5" priority="4" operator="between">
      <formula>0.1</formula>
      <formula>0.2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3FFE-1256-4A00-AF3F-70013C27B583}">
  <dimension ref="A1:L18"/>
  <sheetViews>
    <sheetView zoomScaleNormal="100" workbookViewId="0">
      <selection activeCell="B9" sqref="B9"/>
    </sheetView>
  </sheetViews>
  <sheetFormatPr defaultRowHeight="15" x14ac:dyDescent="0.25"/>
  <cols>
    <col min="1" max="1" width="67.5703125" bestFit="1" customWidth="1"/>
    <col min="2" max="2" width="9.5703125" bestFit="1" customWidth="1"/>
    <col min="11" max="11" width="10.7109375" customWidth="1"/>
  </cols>
  <sheetData>
    <row r="1" spans="1:12" x14ac:dyDescent="0.25">
      <c r="A1" s="2" t="s">
        <v>16</v>
      </c>
      <c r="B1" s="2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K1" s="2" t="s">
        <v>28</v>
      </c>
      <c r="L1" s="2" t="s">
        <v>26</v>
      </c>
    </row>
    <row r="2" spans="1:12" x14ac:dyDescent="0.25">
      <c r="A2" t="str">
        <f>T_All_K1_N10_P20[[#This Row],[Identifier]]</f>
        <v>d82c3f0002ac3c062052d430c5bd2d0a4ed32c12c523fcc2d5e1d2cf17b4e72c</v>
      </c>
      <c r="B2">
        <f>(T_All_K1_N10_P20[[#This Row],[1]]-T_All_K1_N10_P20[[#This Row],[0]])/(ABS(T_All_K1_N10_P20[[#This Row],[0]]))</f>
        <v>-0.49721755022332176</v>
      </c>
      <c r="C2">
        <f>(T_All_K1_N10_P20[[#This Row],[2]]-T_All_K1_N10_P20[[#This Row],[1]])/(ABS(T_All_K1_N10_P20[[#This Row],[1]]))</f>
        <v>0.94857184153745822</v>
      </c>
      <c r="D2">
        <f>(T_All_K1_N10_P20[[#This Row],[3]]-T_All_K1_N10_P20[[#This Row],[2]])/(ABS(T_All_K1_N10_P20[[#This Row],[2]]))</f>
        <v>0.32580041225479922</v>
      </c>
      <c r="E2">
        <f>(T_All_K1_N10_P20[[#This Row],[4]]-T_All_K1_N10_P20[[#This Row],[3]])/(ABS(T_All_K1_N10_P20[[#This Row],[3]]))</f>
        <v>-0.11636915015490504</v>
      </c>
      <c r="F2">
        <f>(T_All_K1_N10_P20[[#This Row],[5]]-T_All_K1_N10_P20[[#This Row],[4]])/(ABS(T_All_K1_N10_P20[[#This Row],[4]]))</f>
        <v>-0.28791659882759452</v>
      </c>
      <c r="G2">
        <f>(T_All_K1_N10_P20[[#This Row],[6]]-T_All_K1_N10_P20[[#This Row],[5]])/(ABS(T_All_K1_N10_P20[[#This Row],[5]]))</f>
        <v>0.15448435680451905</v>
      </c>
      <c r="H2">
        <f>(T_All_K1_N10_P20[[#This Row],[7]]-T_All_K1_N10_P20[[#This Row],[6]])/(ABS(T_All_K1_N10_P20[[#This Row],[6]]))</f>
        <v>-0.13969565961986813</v>
      </c>
      <c r="I2">
        <f>(T_All_K1_N10_P20[[#This Row],[8]]-T_All_K1_N10_P20[[#This Row],[7]])/(ABS(T_All_K1_N10_P20[[#This Row],[7]]))</f>
        <v>-3.6716580144671003E-2</v>
      </c>
      <c r="K2">
        <f>AVERAGE(B2:I2)</f>
        <v>4.386763395330201E-2</v>
      </c>
      <c r="L2">
        <f>(T_All_K1_N10_P20[[#This Row],[8]]-T_All_K1_N10_P20[[#This Row],[0]])/ABS(T_All_K1_N10_P20[[#This Row],[0]])</f>
        <v>-0.21806497675550371</v>
      </c>
    </row>
    <row r="3" spans="1:12" x14ac:dyDescent="0.25">
      <c r="A3" t="str">
        <f>T_All_K1_N10_P20[[#This Row],[Identifier]]</f>
        <v>855e259e02a63b623b190911a82fcb9920eebc4405cf4847d632228c656415d9</v>
      </c>
      <c r="B3">
        <f>(T_All_K1_N10_P20[[#This Row],[1]]-T_All_K1_N10_P20[[#This Row],[0]])/(ABS(T_All_K1_N10_P20[[#This Row],[0]]))</f>
        <v>-0.4061824341816167</v>
      </c>
      <c r="C3">
        <f>(T_All_K1_N10_P20[[#This Row],[2]]-T_All_K1_N10_P20[[#This Row],[1]])/(ABS(T_All_K1_N10_P20[[#This Row],[1]]))</f>
        <v>0.49390914686974396</v>
      </c>
      <c r="D3">
        <f>(T_All_K1_N10_P20[[#This Row],[3]]-T_All_K1_N10_P20[[#This Row],[2]])/(ABS(T_All_K1_N10_P20[[#This Row],[2]]))</f>
        <v>-0.16283900325777817</v>
      </c>
      <c r="E3">
        <f>(T_All_K1_N10_P20[[#This Row],[4]]-T_All_K1_N10_P20[[#This Row],[3]])/(ABS(T_All_K1_N10_P20[[#This Row],[3]]))</f>
        <v>1.4739864293140045E-2</v>
      </c>
      <c r="F3">
        <f>(T_All_K1_N10_P20[[#This Row],[5]]-T_All_K1_N10_P20[[#This Row],[4]])/(ABS(T_All_K1_N10_P20[[#This Row],[4]]))</f>
        <v>-0.14216859376390095</v>
      </c>
      <c r="G3">
        <f>(T_All_K1_N10_P20[[#This Row],[6]]-T_All_K1_N10_P20[[#This Row],[5]])/(ABS(T_All_K1_N10_P20[[#This Row],[5]]))</f>
        <v>-0.52383225275527201</v>
      </c>
      <c r="H3">
        <f>(T_All_K1_N10_P20[[#This Row],[7]]-T_All_K1_N10_P20[[#This Row],[6]])/(ABS(T_All_K1_N10_P20[[#This Row],[6]]))</f>
        <v>1.8169797261011797</v>
      </c>
      <c r="I3">
        <f>(T_All_K1_N10_P20[[#This Row],[8]]-T_All_K1_N10_P20[[#This Row],[7]])/(ABS(T_All_K1_N10_P20[[#This Row],[7]]))</f>
        <v>5.0546179617541931E-2</v>
      </c>
      <c r="K3">
        <f t="shared" ref="K3:K10" si="0">AVERAGE(B3:I3)</f>
        <v>0.14264407911537974</v>
      </c>
      <c r="L3">
        <f>(T_All_K1_N10_P20[[#This Row],[8]]-T_All_K1_N10_P20[[#This Row],[0]])/ABS(T_All_K1_N10_P20[[#This Row],[0]])</f>
        <v>-8.9034935450370487E-2</v>
      </c>
    </row>
    <row r="4" spans="1:12" x14ac:dyDescent="0.25">
      <c r="A4" t="str">
        <f>T_All_K1_N10_P20[[#This Row],[Identifier]]</f>
        <v>846f886ebf155ac6ef0875a02a747d204226e425bde6ab068a6f0083535b5530</v>
      </c>
      <c r="B4">
        <f>(T_All_K1_N10_P20[[#This Row],[1]]-T_All_K1_N10_P20[[#This Row],[0]])/(ABS(T_All_K1_N10_P20[[#This Row],[0]]))</f>
        <v>0.72414515059690088</v>
      </c>
      <c r="C4">
        <f>(T_All_K1_N10_P20[[#This Row],[2]]-T_All_K1_N10_P20[[#This Row],[1]])/(ABS(T_All_K1_N10_P20[[#This Row],[1]]))</f>
        <v>0.23902718888760724</v>
      </c>
      <c r="D4">
        <f>(T_All_K1_N10_P20[[#This Row],[3]]-T_All_K1_N10_P20[[#This Row],[2]])/(ABS(T_All_K1_N10_P20[[#This Row],[2]]))</f>
        <v>-0.26370985139220732</v>
      </c>
      <c r="E4">
        <f>(T_All_K1_N10_P20[[#This Row],[4]]-T_All_K1_N10_P20[[#This Row],[3]])/(ABS(T_All_K1_N10_P20[[#This Row],[3]]))</f>
        <v>-0.4011633636583648</v>
      </c>
      <c r="F4">
        <f>(T_All_K1_N10_P20[[#This Row],[5]]-T_All_K1_N10_P20[[#This Row],[4]])/(ABS(T_All_K1_N10_P20[[#This Row],[4]]))</f>
        <v>1.6680321639189755</v>
      </c>
      <c r="G4">
        <f>(T_All_K1_N10_P20[[#This Row],[6]]-T_All_K1_N10_P20[[#This Row],[5]])/(ABS(T_All_K1_N10_P20[[#This Row],[5]]))</f>
        <v>-0.41195446039408329</v>
      </c>
      <c r="H4">
        <f>(T_All_K1_N10_P20[[#This Row],[7]]-T_All_K1_N10_P20[[#This Row],[6]])/(ABS(T_All_K1_N10_P20[[#This Row],[6]]))</f>
        <v>-0.31306068835046769</v>
      </c>
      <c r="I4">
        <f>(T_All_K1_N10_P20[[#This Row],[8]]-T_All_K1_N10_P20[[#This Row],[7]])/(ABS(T_All_K1_N10_P20[[#This Row],[7]]))</f>
        <v>0.35661241381666386</v>
      </c>
      <c r="K4">
        <f t="shared" si="0"/>
        <v>0.19974106917812806</v>
      </c>
      <c r="L4">
        <f>(T_All_K1_N10_P20[[#This Row],[8]]-T_All_K1_N10_P20[[#This Row],[0]])/ABS(T_All_K1_N10_P20[[#This Row],[0]])</f>
        <v>0.37717202413348255</v>
      </c>
    </row>
    <row r="5" spans="1:12" x14ac:dyDescent="0.25">
      <c r="A5" t="str">
        <f>T_All_K1_N10_P20[[#This Row],[Identifier]]</f>
        <v>57891eec13b2904bde177a97333fd5fa2249b74feca7918f623f891a55058319</v>
      </c>
      <c r="B5">
        <f>(T_All_K1_N10_P20[[#This Row],[1]]-T_All_K1_N10_P20[[#This Row],[0]])/(ABS(T_All_K1_N10_P20[[#This Row],[0]]))</f>
        <v>0.57115627672717595</v>
      </c>
      <c r="C5">
        <f>(T_All_K1_N10_P20[[#This Row],[2]]-T_All_K1_N10_P20[[#This Row],[1]])/(ABS(T_All_K1_N10_P20[[#This Row],[1]]))</f>
        <v>-0.49280208678949877</v>
      </c>
      <c r="D5">
        <f>(T_All_K1_N10_P20[[#This Row],[3]]-T_All_K1_N10_P20[[#This Row],[2]])/(ABS(T_All_K1_N10_P20[[#This Row],[2]]))</f>
        <v>-0.33811603413065966</v>
      </c>
      <c r="E5">
        <f>(T_All_K1_N10_P20[[#This Row],[4]]-T_All_K1_N10_P20[[#This Row],[3]])/(ABS(T_All_K1_N10_P20[[#This Row],[3]]))</f>
        <v>1.1178084844033644</v>
      </c>
      <c r="F5">
        <f>(T_All_K1_N10_P20[[#This Row],[5]]-T_All_K1_N10_P20[[#This Row],[4]])/(ABS(T_All_K1_N10_P20[[#This Row],[4]]))</f>
        <v>-2.4424590676190537E-2</v>
      </c>
      <c r="G5">
        <f>(T_All_K1_N10_P20[[#This Row],[6]]-T_All_K1_N10_P20[[#This Row],[5]])/(ABS(T_All_K1_N10_P20[[#This Row],[5]]))</f>
        <v>4.2768875280699621E-2</v>
      </c>
      <c r="H5">
        <f>(T_All_K1_N10_P20[[#This Row],[7]]-T_All_K1_N10_P20[[#This Row],[6]])/(ABS(T_All_K1_N10_P20[[#This Row],[6]]))</f>
        <v>-0.19325810992478454</v>
      </c>
      <c r="I5">
        <f>(T_All_K1_N10_P20[[#This Row],[8]]-T_All_K1_N10_P20[[#This Row],[7]])/(ABS(T_All_K1_N10_P20[[#This Row],[7]]))</f>
        <v>0.19063141783229559</v>
      </c>
      <c r="K5">
        <f t="shared" si="0"/>
        <v>0.10922052909030025</v>
      </c>
      <c r="L5">
        <f>(T_All_K1_N10_P20[[#This Row],[8]]-T_All_K1_N10_P20[[#This Row],[0]])/ABS(T_All_K1_N10_P20[[#This Row],[0]])</f>
        <v>9.1506278786114628E-2</v>
      </c>
    </row>
    <row r="6" spans="1:12" x14ac:dyDescent="0.25">
      <c r="A6" t="str">
        <f>T_All_K1_N10_P20[[#This Row],[Identifier]]</f>
        <v>0263943f9249cdffb1248564f0f59741ba099e981648af059990174bfb7e5890</v>
      </c>
      <c r="B6">
        <f>(T_All_K1_N10_P20[[#This Row],[1]]-T_All_K1_N10_P20[[#This Row],[0]])/(ABS(T_All_K1_N10_P20[[#This Row],[0]]))</f>
        <v>-0.45950928079667286</v>
      </c>
      <c r="C6">
        <f>(T_All_K1_N10_P20[[#This Row],[2]]-T_All_K1_N10_P20[[#This Row],[1]])/(ABS(T_All_K1_N10_P20[[#This Row],[1]]))</f>
        <v>5.9439114444181429E-2</v>
      </c>
      <c r="D6">
        <f>(T_All_K1_N10_P20[[#This Row],[3]]-T_All_K1_N10_P20[[#This Row],[2]])/(ABS(T_All_K1_N10_P20[[#This Row],[2]]))</f>
        <v>-3.6139260553847787E-2</v>
      </c>
      <c r="E6">
        <f>(T_All_K1_N10_P20[[#This Row],[4]]-T_All_K1_N10_P20[[#This Row],[3]])/(ABS(T_All_K1_N10_P20[[#This Row],[3]]))</f>
        <v>1.1254552643079925</v>
      </c>
      <c r="F6">
        <f>(T_All_K1_N10_P20[[#This Row],[5]]-T_All_K1_N10_P20[[#This Row],[4]])/(ABS(T_All_K1_N10_P20[[#This Row],[4]]))</f>
        <v>-0.24176664739627995</v>
      </c>
      <c r="G6">
        <f>(T_All_K1_N10_P20[[#This Row],[6]]-T_All_K1_N10_P20[[#This Row],[5]])/(ABS(T_All_K1_N10_P20[[#This Row],[5]]))</f>
        <v>0.12023512204708435</v>
      </c>
      <c r="H6">
        <f>(T_All_K1_N10_P20[[#This Row],[7]]-T_All_K1_N10_P20[[#This Row],[6]])/(ABS(T_All_K1_N10_P20[[#This Row],[6]]))</f>
        <v>-0.11642213926580862</v>
      </c>
      <c r="I6">
        <f>(T_All_K1_N10_P20[[#This Row],[8]]-T_All_K1_N10_P20[[#This Row],[7]])/(ABS(T_All_K1_N10_P20[[#This Row],[7]]))</f>
        <v>0.12406001244707969</v>
      </c>
      <c r="K6">
        <f t="shared" si="0"/>
        <v>7.1919023154216083E-2</v>
      </c>
      <c r="L6">
        <f>(T_All_K1_N10_P20[[#This Row],[8]]-T_All_K1_N10_P20[[#This Row],[0]])/ABS(T_All_K1_N10_P20[[#This Row],[0]])</f>
        <v>-1.0360785586218146E-2</v>
      </c>
    </row>
    <row r="7" spans="1:12" x14ac:dyDescent="0.25">
      <c r="A7" t="str">
        <f>T_All_K1_N10_P20[[#This Row],[Identifier]]</f>
        <v>d2a1eed1dae13c28848430bd2101b46c9102eee39467901d633f7b7baa6b7bbf</v>
      </c>
      <c r="B7">
        <f>(T_All_K1_N10_P20[[#This Row],[1]]-T_All_K1_N10_P20[[#This Row],[0]])/(ABS(T_All_K1_N10_P20[[#This Row],[0]]))</f>
        <v>0.13133696626537861</v>
      </c>
      <c r="C7">
        <f>(T_All_K1_N10_P20[[#This Row],[2]]-T_All_K1_N10_P20[[#This Row],[1]])/(ABS(T_All_K1_N10_P20[[#This Row],[1]]))</f>
        <v>-0.59424927313501164</v>
      </c>
      <c r="D7">
        <f>(T_All_K1_N10_P20[[#This Row],[3]]-T_All_K1_N10_P20[[#This Row],[2]])/(ABS(T_All_K1_N10_P20[[#This Row],[2]]))</f>
        <v>1.0669534039285653</v>
      </c>
      <c r="E7">
        <f>(T_All_K1_N10_P20[[#This Row],[4]]-T_All_K1_N10_P20[[#This Row],[3]])/(ABS(T_All_K1_N10_P20[[#This Row],[3]]))</f>
        <v>1.0585351509636779E-2</v>
      </c>
      <c r="F7">
        <f>(T_All_K1_N10_P20[[#This Row],[5]]-T_All_K1_N10_P20[[#This Row],[4]])/(ABS(T_All_K1_N10_P20[[#This Row],[4]]))</f>
        <v>-4.5212687824335268E-2</v>
      </c>
      <c r="G7">
        <f>(T_All_K1_N10_P20[[#This Row],[6]]-T_All_K1_N10_P20[[#This Row],[5]])/(ABS(T_All_K1_N10_P20[[#This Row],[5]]))</f>
        <v>-0.30309683917255148</v>
      </c>
      <c r="H7">
        <f>(T_All_K1_N10_P20[[#This Row],[7]]-T_All_K1_N10_P20[[#This Row],[6]])/(ABS(T_All_K1_N10_P20[[#This Row],[6]]))</f>
        <v>1.3582795181366618</v>
      </c>
      <c r="I7">
        <f>(T_All_K1_N10_P20[[#This Row],[8]]-T_All_K1_N10_P20[[#This Row],[7]])/(ABS(T_All_K1_N10_P20[[#This Row],[7]]))</f>
        <v>0.1242190438858404</v>
      </c>
      <c r="K7">
        <f t="shared" si="0"/>
        <v>0.21860193544927306</v>
      </c>
      <c r="L7">
        <f>(T_All_K1_N10_P20[[#This Row],[8]]-T_All_K1_N10_P20[[#This Row],[0]])/ABS(T_All_K1_N10_P20[[#This Row],[0]])</f>
        <v>0.69153216282257834</v>
      </c>
    </row>
    <row r="8" spans="1:12" x14ac:dyDescent="0.25">
      <c r="A8" t="str">
        <f>T_All_K1_N10_P20[[#This Row],[Identifier]]</f>
        <v>53d77db66f4175f80873513eee2510cae3e165e9dbb48896e4d28b2a48d2ada0</v>
      </c>
      <c r="B8">
        <f>(T_All_K1_N10_P20[[#This Row],[1]]-T_All_K1_N10_P20[[#This Row],[0]])/(ABS(T_All_K1_N10_P20[[#This Row],[0]]))</f>
        <v>0.43019686104856852</v>
      </c>
      <c r="C8">
        <f>(T_All_K1_N10_P20[[#This Row],[2]]-T_All_K1_N10_P20[[#This Row],[1]])/(ABS(T_All_K1_N10_P20[[#This Row],[1]]))</f>
        <v>-0.83514257068645381</v>
      </c>
      <c r="D8">
        <f>(T_All_K1_N10_P20[[#This Row],[3]]-T_All_K1_N10_P20[[#This Row],[2]])/(ABS(T_All_K1_N10_P20[[#This Row],[2]]))</f>
        <v>4.8023965296550442</v>
      </c>
      <c r="E8">
        <f>(T_All_K1_N10_P20[[#This Row],[4]]-T_All_K1_N10_P20[[#This Row],[3]])/(ABS(T_All_K1_N10_P20[[#This Row],[3]]))</f>
        <v>0.20778138421559808</v>
      </c>
      <c r="F8">
        <f>(T_All_K1_N10_P20[[#This Row],[5]]-T_All_K1_N10_P20[[#This Row],[4]])/(ABS(T_All_K1_N10_P20[[#This Row],[4]]))</f>
        <v>-0.27222739094154952</v>
      </c>
      <c r="G8">
        <f>(T_All_K1_N10_P20[[#This Row],[6]]-T_All_K1_N10_P20[[#This Row],[5]])/(ABS(T_All_K1_N10_P20[[#This Row],[5]]))</f>
        <v>0.19047706413313703</v>
      </c>
      <c r="H8">
        <f>(T_All_K1_N10_P20[[#This Row],[7]]-T_All_K1_N10_P20[[#This Row],[6]])/(ABS(T_All_K1_N10_P20[[#This Row],[6]]))</f>
        <v>0.13311736491480755</v>
      </c>
      <c r="I8">
        <f>(T_All_K1_N10_P20[[#This Row],[8]]-T_All_K1_N10_P20[[#This Row],[7]])/(ABS(T_All_K1_N10_P20[[#This Row],[7]]))</f>
        <v>-0.3046691876895341</v>
      </c>
      <c r="K8">
        <f t="shared" si="0"/>
        <v>0.54399125683120231</v>
      </c>
      <c r="L8">
        <f>(T_All_K1_N10_P20[[#This Row],[8]]-T_All_K1_N10_P20[[#This Row],[0]])/ABS(T_All_K1_N10_P20[[#This Row],[0]])</f>
        <v>0.12793270343838747</v>
      </c>
    </row>
    <row r="9" spans="1:12" x14ac:dyDescent="0.25">
      <c r="A9" t="str">
        <f>T_All_K1_N10_P20[[#This Row],[Identifier]]</f>
        <v>46fee1278e888854ce208e81b7cc5c289a1668508518e664977ba916383931f7</v>
      </c>
      <c r="B9">
        <f>(T_All_K1_N10_P20[[#This Row],[1]]-T_All_K1_N10_P20[[#This Row],[0]])/(ABS(T_All_K1_N10_P20[[#This Row],[0]]))</f>
        <v>-0.30478687519650355</v>
      </c>
      <c r="C9">
        <f>(T_All_K1_N10_P20[[#This Row],[2]]-T_All_K1_N10_P20[[#This Row],[1]])/(ABS(T_All_K1_N10_P20[[#This Row],[1]]))</f>
        <v>-6.3117556330320651E-2</v>
      </c>
      <c r="D9">
        <f>(T_All_K1_N10_P20[[#This Row],[3]]-T_All_K1_N10_P20[[#This Row],[2]])/(ABS(T_All_K1_N10_P20[[#This Row],[2]]))</f>
        <v>0.40782778028874028</v>
      </c>
      <c r="E9">
        <f>(T_All_K1_N10_P20[[#This Row],[4]]-T_All_K1_N10_P20[[#This Row],[3]])/(ABS(T_All_K1_N10_P20[[#This Row],[3]]))</f>
        <v>-0.33175831664037625</v>
      </c>
      <c r="F9">
        <f>(T_All_K1_N10_P20[[#This Row],[5]]-T_All_K1_N10_P20[[#This Row],[4]])/(ABS(T_All_K1_N10_P20[[#This Row],[4]]))</f>
        <v>0.79550541582504886</v>
      </c>
      <c r="G9">
        <f>(T_All_K1_N10_P20[[#This Row],[6]]-T_All_K1_N10_P20[[#This Row],[5]])/(ABS(T_All_K1_N10_P20[[#This Row],[5]]))</f>
        <v>-3.7993474492781718E-2</v>
      </c>
      <c r="H9">
        <f>(T_All_K1_N10_P20[[#This Row],[7]]-T_All_K1_N10_P20[[#This Row],[6]])/(ABS(T_All_K1_N10_P20[[#This Row],[6]]))</f>
        <v>-0.62799620713855664</v>
      </c>
      <c r="I9">
        <f>(T_All_K1_N10_P20[[#This Row],[8]]-T_All_K1_N10_P20[[#This Row],[7]])/(ABS(T_All_K1_N10_P20[[#This Row],[7]]))</f>
        <v>0.64993121561954725</v>
      </c>
      <c r="K9">
        <f t="shared" si="0"/>
        <v>6.0951497741849707E-2</v>
      </c>
      <c r="L9">
        <f>(T_All_K1_N10_P20[[#This Row],[8]]-T_All_K1_N10_P20[[#This Row],[0]])/ABS(T_All_K1_N10_P20[[#This Row],[0]])</f>
        <v>-0.35037294917077666</v>
      </c>
    </row>
    <row r="10" spans="1:12" x14ac:dyDescent="0.25">
      <c r="A10" t="str">
        <f>T_All_K1_N10_P20[[#This Row],[Identifier]]</f>
        <v>63f9bc28eb30b012f95e6a9983ffac62d0b5bec603e0c00b9edfac63c603a0f2</v>
      </c>
      <c r="B10">
        <f>(T_All_K1_N10_P20[[#This Row],[1]]-T_All_K1_N10_P20[[#This Row],[0]])/(ABS(T_All_K1_N10_P20[[#This Row],[0]]))</f>
        <v>-0.42786393342483631</v>
      </c>
      <c r="C10">
        <f>(T_All_K1_N10_P20[[#This Row],[2]]-T_All_K1_N10_P20[[#This Row],[1]])/(ABS(T_All_K1_N10_P20[[#This Row],[1]]))</f>
        <v>-9.5844691886625005E-2</v>
      </c>
      <c r="D10">
        <f>(T_All_K1_N10_P20[[#This Row],[3]]-T_All_K1_N10_P20[[#This Row],[2]])/(ABS(T_All_K1_N10_P20[[#This Row],[2]]))</f>
        <v>0.15238573978147069</v>
      </c>
      <c r="E10">
        <f>(T_All_K1_N10_P20[[#This Row],[4]]-T_All_K1_N10_P20[[#This Row],[3]])/(ABS(T_All_K1_N10_P20[[#This Row],[3]]))</f>
        <v>1.1031563306508232</v>
      </c>
      <c r="F10">
        <f>(T_All_K1_N10_P20[[#This Row],[5]]-T_All_K1_N10_P20[[#This Row],[4]])/(ABS(T_All_K1_N10_P20[[#This Row],[4]]))</f>
        <v>-0.41233290355276453</v>
      </c>
      <c r="G10">
        <f>(T_All_K1_N10_P20[[#This Row],[6]]-T_All_K1_N10_P20[[#This Row],[5]])/(ABS(T_All_K1_N10_P20[[#This Row],[5]]))</f>
        <v>-0.16996440018567222</v>
      </c>
      <c r="H10">
        <f>(T_All_K1_N10_P20[[#This Row],[7]]-T_All_K1_N10_P20[[#This Row],[6]])/(ABS(T_All_K1_N10_P20[[#This Row],[6]]))</f>
        <v>0.38850295201302482</v>
      </c>
      <c r="I10">
        <f>(T_All_K1_N10_P20[[#This Row],[8]]-T_All_K1_N10_P20[[#This Row],[7]])/(ABS(T_All_K1_N10_P20[[#This Row],[7]]))</f>
        <v>0.10275925110720971</v>
      </c>
      <c r="K10">
        <f t="shared" si="0"/>
        <v>8.00997930628288E-2</v>
      </c>
      <c r="L10">
        <f>(T_All_K1_N10_P20[[#This Row],[8]]-T_All_K1_N10_P20[[#This Row],[0]])/ABS(T_All_K1_N10_P20[[#This Row],[0]])</f>
        <v>-6.3587062894612328E-2</v>
      </c>
    </row>
    <row r="11" spans="1:12" x14ac:dyDescent="0.25">
      <c r="A11" t="str">
        <f>T_All_K1_N10_P20[[#This Row],[Identifier]]</f>
        <v>943ebe6fbe2a60b78a2458579c0859373f918de1fccbeb14085bec76ae66b964</v>
      </c>
      <c r="B11">
        <f>(T_All_K1_N10_P20[[#This Row],[1]]-T_All_K1_N10_P20[[#This Row],[0]])/(ABS(T_All_K1_N10_P20[[#This Row],[0]]))</f>
        <v>0.44297609700338936</v>
      </c>
      <c r="C11">
        <f>(T_All_K1_N10_P20[[#This Row],[2]]-T_All_K1_N10_P20[[#This Row],[1]])/(ABS(T_All_K1_N10_P20[[#This Row],[1]]))</f>
        <v>1.138888268124983</v>
      </c>
      <c r="D11">
        <f>(T_All_K1_N10_P20[[#This Row],[3]]-T_All_K1_N10_P20[[#This Row],[2]])/(ABS(T_All_K1_N10_P20[[#This Row],[2]]))</f>
        <v>-0.21739262553691147</v>
      </c>
      <c r="E11">
        <f>(T_All_K1_N10_P20[[#This Row],[4]]-T_All_K1_N10_P20[[#This Row],[3]])/(ABS(T_All_K1_N10_P20[[#This Row],[3]]))</f>
        <v>-0.35886239012662896</v>
      </c>
      <c r="F11">
        <f>(T_All_K1_N10_P20[[#This Row],[5]]-T_All_K1_N10_P20[[#This Row],[4]])/(ABS(T_All_K1_N10_P20[[#This Row],[4]]))</f>
        <v>0.89232276698687296</v>
      </c>
      <c r="G11">
        <f>(T_All_K1_N10_P20[[#This Row],[6]]-T_All_K1_N10_P20[[#This Row],[5]])/(ABS(T_All_K1_N10_P20[[#This Row],[5]]))</f>
        <v>0.21612322594363637</v>
      </c>
      <c r="H11">
        <f>(T_All_K1_N10_P20[[#This Row],[7]]-T_All_K1_N10_P20[[#This Row],[6]])/(ABS(T_All_K1_N10_P20[[#This Row],[6]]))</f>
        <v>-0.29303817345688377</v>
      </c>
      <c r="I11">
        <f>(T_All_K1_N10_P20[[#This Row],[8]]-T_All_K1_N10_P20[[#This Row],[7]])/(ABS(T_All_K1_N10_P20[[#This Row],[7]]))</f>
        <v>0.26836274889013489</v>
      </c>
      <c r="K11">
        <f>AVERAGE(B11:I11)</f>
        <v>0.2611724897285741</v>
      </c>
      <c r="L11">
        <f>(T_All_K1_N10_P20[[#This Row],[8]]-T_All_K1_N10_P20[[#This Row],[0]])/ABS(T_All_K1_N10_P20[[#This Row],[0]])</f>
        <v>2.1956165752926617</v>
      </c>
    </row>
    <row r="14" spans="1:12" x14ac:dyDescent="0.25">
      <c r="J14" s="2" t="s">
        <v>25</v>
      </c>
      <c r="K14">
        <f>AVERAGE(K2:K11)</f>
        <v>0.17322093073050543</v>
      </c>
      <c r="L14">
        <f>AVERAGE(L2:L11)</f>
        <v>0.27523390346157434</v>
      </c>
    </row>
    <row r="17" spans="1:12" x14ac:dyDescent="0.25">
      <c r="A17" s="5"/>
      <c r="B17" s="6" t="s">
        <v>17</v>
      </c>
      <c r="C17" s="7" t="s">
        <v>18</v>
      </c>
      <c r="D17" s="7" t="s">
        <v>19</v>
      </c>
      <c r="E17" s="7" t="s">
        <v>20</v>
      </c>
      <c r="F17" s="7" t="s">
        <v>21</v>
      </c>
      <c r="G17" s="7" t="s">
        <v>22</v>
      </c>
      <c r="H17" s="7" t="s">
        <v>23</v>
      </c>
      <c r="I17" s="7" t="s">
        <v>24</v>
      </c>
      <c r="J17" s="5"/>
      <c r="K17" s="6" t="s">
        <v>25</v>
      </c>
      <c r="L17" s="6" t="s">
        <v>26</v>
      </c>
    </row>
    <row r="18" spans="1:12" x14ac:dyDescent="0.25">
      <c r="A18" s="5" t="s">
        <v>27</v>
      </c>
      <c r="B18" s="5">
        <f>AVERAGE(B2:B11)</f>
        <v>2.0425127781846207E-2</v>
      </c>
      <c r="C18" s="5">
        <f t="shared" ref="C18:I18" si="1">AVERAGE(C2:C11)</f>
        <v>7.9867938103606401E-2</v>
      </c>
      <c r="D18" s="5">
        <f t="shared" si="1"/>
        <v>0.57371670910372152</v>
      </c>
      <c r="E18" s="5">
        <f t="shared" si="1"/>
        <v>0.23713734588002797</v>
      </c>
      <c r="F18" s="5">
        <f t="shared" si="1"/>
        <v>0.19298109337482822</v>
      </c>
      <c r="G18" s="5">
        <f t="shared" si="1"/>
        <v>-7.2275278279128427E-2</v>
      </c>
      <c r="H18" s="5">
        <f t="shared" si="1"/>
        <v>0.20134085834093046</v>
      </c>
      <c r="I18" s="5">
        <f t="shared" si="1"/>
        <v>0.15257365153821084</v>
      </c>
      <c r="J18" s="5"/>
      <c r="K18" s="5">
        <f>AVERAGE(B18:I18)</f>
        <v>0.17322093073050537</v>
      </c>
      <c r="L18" s="5">
        <f>(I18-B18)/(ABS(B18))</f>
        <v>6.4698994869357849</v>
      </c>
    </row>
  </sheetData>
  <conditionalFormatting sqref="A18:XFD18">
    <cfRule type="cellIs" dxfId="4" priority="1" operator="greaterThan">
      <formula>0</formula>
    </cfRule>
    <cfRule type="cellIs" dxfId="3" priority="2" operator="lessThan">
      <formula>0</formula>
    </cfRule>
  </conditionalFormatting>
  <conditionalFormatting sqref="K1:L25 K26 K27:L1048576">
    <cfRule type="cellIs" dxfId="2" priority="3" operator="lessThan">
      <formula>0</formula>
    </cfRule>
    <cfRule type="cellIs" dxfId="1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AC00-A9EB-461B-A790-FBB9A7DFFB14}">
  <dimension ref="A1"/>
  <sheetViews>
    <sheetView topLeftCell="D1" zoomScale="145" zoomScaleNormal="145" workbookViewId="0">
      <selection activeCell="G78" sqref="G7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4D51C3-8CFE-47D2-A4AC-BD8108A6BE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T-All_K1 N10 P20</vt:lpstr>
      <vt:lpstr>R Squared</vt:lpstr>
      <vt:lpstr>Relative Change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2025-12-02T03:21:50Z</dcterms:created>
  <dcterms:modified xsi:type="dcterms:W3CDTF">2025-12-17T22:48:26Z</dcterms:modified>
</cp:coreProperties>
</file>