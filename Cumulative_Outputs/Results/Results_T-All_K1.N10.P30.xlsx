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Cumulative_Outputs\Results\"/>
    </mc:Choice>
  </mc:AlternateContent>
  <xr:revisionPtr revIDLastSave="0" documentId="13_ncr:1_{9EBAE36F-81B6-4699-A303-D6E4A0091601}" xr6:coauthVersionLast="47" xr6:coauthVersionMax="47" xr10:uidLastSave="{00000000-0000-0000-0000-000000000000}"/>
  <bookViews>
    <workbookView xWindow="13170" yWindow="0" windowWidth="13170" windowHeight="15600" activeTab="2" xr2:uid="{5CF18307-C3AA-4F8D-B283-B3AED6997DE3}"/>
  </bookViews>
  <sheets>
    <sheet name="T-All_K1 N10 P30" sheetId="6" r:id="rId1"/>
    <sheet name="R Squared" sheetId="1" r:id="rId2"/>
    <sheet name="Relative Change" sheetId="3" r:id="rId3"/>
    <sheet name="Graphs" sheetId="4" r:id="rId4"/>
  </sheets>
  <definedNames>
    <definedName name="ExternalData_1" localSheetId="0" hidden="1">'T-All_K1 N10 P30'!$A$1:$L$11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2" i="3"/>
  <c r="B3" i="3" l="1"/>
  <c r="C3" i="3"/>
  <c r="D3" i="3"/>
  <c r="E3" i="3"/>
  <c r="F3" i="3"/>
  <c r="G3" i="3"/>
  <c r="H3" i="3"/>
  <c r="I3" i="3"/>
  <c r="B4" i="3"/>
  <c r="C4" i="3"/>
  <c r="D4" i="3"/>
  <c r="E4" i="3"/>
  <c r="F4" i="3"/>
  <c r="G4" i="3"/>
  <c r="H4" i="3"/>
  <c r="I4" i="3"/>
  <c r="B5" i="3"/>
  <c r="C5" i="3"/>
  <c r="D5" i="3"/>
  <c r="E5" i="3"/>
  <c r="F5" i="3"/>
  <c r="G5" i="3"/>
  <c r="H5" i="3"/>
  <c r="I5" i="3"/>
  <c r="B6" i="3"/>
  <c r="C6" i="3"/>
  <c r="D6" i="3"/>
  <c r="E6" i="3"/>
  <c r="F6" i="3"/>
  <c r="G6" i="3"/>
  <c r="H6" i="3"/>
  <c r="I6" i="3"/>
  <c r="B7" i="3"/>
  <c r="C7" i="3"/>
  <c r="D7" i="3"/>
  <c r="E7" i="3"/>
  <c r="F7" i="3"/>
  <c r="G7" i="3"/>
  <c r="H7" i="3"/>
  <c r="I7" i="3"/>
  <c r="B8" i="3"/>
  <c r="C8" i="3"/>
  <c r="D8" i="3"/>
  <c r="E8" i="3"/>
  <c r="F8" i="3"/>
  <c r="G8" i="3"/>
  <c r="H8" i="3"/>
  <c r="I8" i="3"/>
  <c r="B9" i="3"/>
  <c r="C9" i="3"/>
  <c r="D9" i="3"/>
  <c r="E9" i="3"/>
  <c r="F9" i="3"/>
  <c r="G9" i="3"/>
  <c r="H9" i="3"/>
  <c r="I9" i="3"/>
  <c r="B10" i="3"/>
  <c r="C10" i="3"/>
  <c r="D10" i="3"/>
  <c r="E10" i="3"/>
  <c r="F10" i="3"/>
  <c r="G10" i="3"/>
  <c r="H10" i="3"/>
  <c r="I10" i="3"/>
  <c r="B11" i="3"/>
  <c r="C11" i="3"/>
  <c r="D11" i="3"/>
  <c r="E11" i="3"/>
  <c r="F11" i="3"/>
  <c r="G11" i="3"/>
  <c r="H11" i="3"/>
  <c r="I11" i="3"/>
  <c r="C2" i="3"/>
  <c r="D2" i="3"/>
  <c r="E2" i="3"/>
  <c r="F2" i="3"/>
  <c r="G2" i="3"/>
  <c r="H2" i="3"/>
  <c r="I2" i="3"/>
  <c r="B2" i="3"/>
  <c r="A3" i="3"/>
  <c r="A4" i="3"/>
  <c r="A5" i="3"/>
  <c r="A6" i="3"/>
  <c r="A7" i="3"/>
  <c r="A8" i="3"/>
  <c r="A9" i="3"/>
  <c r="A10" i="3"/>
  <c r="A11" i="3"/>
  <c r="A2" i="3"/>
  <c r="A3" i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A9" i="1"/>
  <c r="B9" i="1"/>
  <c r="C9" i="1"/>
  <c r="D9" i="1"/>
  <c r="E9" i="1"/>
  <c r="F9" i="1"/>
  <c r="G9" i="1"/>
  <c r="H9" i="1"/>
  <c r="I9" i="1"/>
  <c r="J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J11" i="1"/>
  <c r="B2" i="1"/>
  <c r="C2" i="1"/>
  <c r="D2" i="1"/>
  <c r="E2" i="1"/>
  <c r="F2" i="1"/>
  <c r="G2" i="1"/>
  <c r="H2" i="1"/>
  <c r="I2" i="1"/>
  <c r="J2" i="1"/>
  <c r="A2" i="1"/>
  <c r="L14" i="3" l="1"/>
  <c r="C18" i="3"/>
  <c r="D18" i="3"/>
  <c r="E18" i="3"/>
  <c r="F18" i="3"/>
  <c r="G18" i="3"/>
  <c r="H18" i="3"/>
  <c r="I18" i="3"/>
  <c r="B18" i="3"/>
  <c r="B18" i="1"/>
  <c r="C18" i="1"/>
  <c r="D18" i="1"/>
  <c r="E18" i="1"/>
  <c r="F18" i="1"/>
  <c r="G18" i="1"/>
  <c r="H18" i="1"/>
  <c r="I18" i="1"/>
  <c r="J18" i="1"/>
  <c r="L10" i="1" l="1"/>
  <c r="K9" i="3"/>
  <c r="K10" i="3"/>
  <c r="L11" i="1"/>
  <c r="K11" i="3"/>
  <c r="L9" i="1"/>
  <c r="K2" i="3"/>
  <c r="L5" i="1"/>
  <c r="L7" i="1"/>
  <c r="K7" i="3"/>
  <c r="K8" i="3"/>
  <c r="L6" i="1"/>
  <c r="K4" i="3"/>
  <c r="K6" i="3"/>
  <c r="K5" i="3"/>
  <c r="L3" i="1"/>
  <c r="L8" i="1"/>
  <c r="L4" i="1"/>
  <c r="K3" i="3"/>
  <c r="L2" i="1"/>
  <c r="K14" i="3" l="1"/>
  <c r="L14" i="1"/>
  <c r="L18" i="1"/>
  <c r="L18" i="3"/>
  <c r="K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17A31C-6D91-4AD1-B064-235A9ED383F8}" keepAlive="1" name="Query - T-All_K1 N10 P30" description="Connection to the 'T-All_K1 N10 P30' query in the workbook." type="5" refreshedVersion="8" background="1" saveData="1">
    <dbPr connection="Provider=Microsoft.Mashup.OleDb.1;Data Source=$Workbook$;Location=&quot;T-All_K1 N10 P30&quot;;Extended Properties=&quot;&quot;" command="SELECT * FROM [T-All_K1 N10 P30]"/>
  </connection>
</connections>
</file>

<file path=xl/sharedStrings.xml><?xml version="1.0" encoding="utf-8"?>
<sst xmlns="http://schemas.openxmlformats.org/spreadsheetml/2006/main" count="50" uniqueCount="39">
  <si>
    <t>Identifier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</si>
  <si>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</si>
  <si>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</si>
  <si>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</si>
  <si>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</si>
  <si>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</si>
  <si>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</si>
  <si>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</si>
  <si>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</si>
  <si>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</si>
  <si>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</si>
  <si>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</si>
  <si>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 Squared</t>
  </si>
  <si>
    <t>Ave RSQ</t>
  </si>
  <si>
    <t>RSQ of Ave</t>
  </si>
  <si>
    <t>T Averages</t>
  </si>
  <si>
    <t>ID</t>
  </si>
  <si>
    <t>0-1</t>
  </si>
  <si>
    <t>1-2</t>
  </si>
  <si>
    <t>2-3</t>
  </si>
  <si>
    <t>3-4</t>
  </si>
  <si>
    <t>4-5</t>
  </si>
  <si>
    <t>5-6</t>
  </si>
  <si>
    <t>6-7</t>
  </si>
  <si>
    <t>7-8</t>
  </si>
  <si>
    <t>Average</t>
  </si>
  <si>
    <t>Max-Min</t>
  </si>
  <si>
    <t>Average per Timestep</t>
  </si>
  <si>
    <t>Average per ID</t>
  </si>
  <si>
    <t>ed39dc41af8ce5094c42eb7a1315df1cfce6f13daaf31c8a98d88b735c0ed544</t>
  </si>
  <si>
    <t>c94578c35e71e0a2c7c32756d38e14820af87f7e489572d75feffd00964202dc</t>
  </si>
  <si>
    <t>ecc1974debcca40a975594d41197df10f396c4995fe1ad0f6d686174885b918a</t>
  </si>
  <si>
    <t>4feb3e7374eac718b0a2b5f65c50d23f6564b946686fbe148a0155cc2fc9e51a</t>
  </si>
  <si>
    <t>a4cd02eb48979601026998efdd2ef8372c889be16d88f3775be7ce91cdd32b0c</t>
  </si>
  <si>
    <t>ba5f2964b40092a4bbee663a90603e3b1e7342368088a5db208644dd552a717f</t>
  </si>
  <si>
    <t>b8a96f55b87396f898166431c001b57e01996adf68e49870ceb5b781dbc79b45</t>
  </si>
  <si>
    <t>8e2f002622159c9c9a0e37d6caad774a07aeb8deed43f7ce0774f60986f44689</t>
  </si>
  <si>
    <t>64115882c0e848d41188d8b7c2b7dfdbb5f0f98958b855881b0a1613b5293567</t>
  </si>
  <si>
    <t>bff27cb1b0fcc45bcb6d59b6acec57d28af63d225641777b4e07970ce88d1622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</si>
</sst>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</cellXfs>
  <cellStyles count="1">
    <cellStyle name="Normal" xfId="0" builtinId="0"/>
  </cellStyles>
  <dxfs count="9"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F2A44D-D6B5-4B40-937F-7B45598B09B2}" autoFormatId="16" applyNumberFormats="0" applyBorderFormats="0" applyFontFormats="0" applyPatternFormats="0" applyAlignmentFormats="0" applyWidthHeightFormats="0">
  <queryTableRefresh nextId="13">
    <queryTableFields count="12">
      <queryTableField id="1" name="Identifier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561F7-2A49-4CD7-82A8-D0FC3B807FAF}" name="T_All_K1_N10_P30" displayName="T_All_K1_N10_P30" ref="A1:L11" tableType="queryTable" totalsRowShown="0">
  <autoFilter ref="A1:L11" xr:uid="{701561F7-2A49-4CD7-82A8-D0FC3B807FAF}"/>
  <tableColumns count="12">
    <tableColumn id="1" xr3:uid="{61277720-55ED-4E9E-8A19-C0F387D65051}" uniqueName="1" name="Identifier" queryTableFieldId="1" dataDxfId="8"/>
    <tableColumn id="2" xr3:uid="{31E940BD-8D8B-4A42-BB83-8B62ED8CEEF4}" uniqueName="2" name="0" queryTableFieldId="2"/>
    <tableColumn id="3" xr3:uid="{CD15E767-FA89-46E4-B9B2-886B0F8EDEEB}" uniqueName="3" name="1" queryTableFieldId="3"/>
    <tableColumn id="4" xr3:uid="{81766A56-442E-434A-99EE-3E58A400A881}" uniqueName="4" name="2" queryTableFieldId="4"/>
    <tableColumn id="5" xr3:uid="{9C756505-510A-4B9A-B7AF-CFC9FD8F34E1}" uniqueName="5" name="3" queryTableFieldId="5"/>
    <tableColumn id="6" xr3:uid="{27F221B0-1C4C-48A5-BA27-E1B29EE718D0}" uniqueName="6" name="4" queryTableFieldId="6"/>
    <tableColumn id="7" xr3:uid="{16B3F89B-F3D2-4534-8F68-0AB97C0E8CE4}" uniqueName="7" name="5" queryTableFieldId="7"/>
    <tableColumn id="8" xr3:uid="{F41A9B38-6455-489F-8D25-BCFB1D101938}" uniqueName="8" name="6" queryTableFieldId="8"/>
    <tableColumn id="9" xr3:uid="{49B190AD-FD19-451D-9864-66C0A050A1A8}" uniqueName="9" name="7" queryTableFieldId="9"/>
    <tableColumn id="10" xr3:uid="{2EDF33E5-0EDA-42AC-A5BA-32898F0A97CD}" uniqueName="10" name="8" queryTableFieldId="10"/>
    <tableColumn id="11" xr3:uid="{E03FC6BE-E4D5-47C0-BFAE-8F3E8D28F72C}" uniqueName="11" name="9" queryTableFieldId="11"/>
    <tableColumn id="12" xr3:uid="{EA800E24-65FD-4876-A2D2-B633636267CA}" uniqueName="12" name="10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3ABE-D191-4882-9CCC-C952967AC6B9}">
  <dimension ref="A1:L11"/>
  <sheetViews>
    <sheetView workbookViewId="0">
      <selection activeCell="J2" sqref="J2"/>
    </sheetView>
  </sheetViews>
  <sheetFormatPr defaultRowHeight="15" x14ac:dyDescent="0.25"/>
  <cols>
    <col min="1" max="1" width="68.140625" bestFit="1" customWidth="1"/>
    <col min="2" max="10" width="12" bestFit="1" customWidth="1"/>
    <col min="11" max="11" width="4.28515625" bestFit="1" customWidth="1"/>
    <col min="12" max="12" width="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29</v>
      </c>
      <c r="B2">
        <v>4.4589591277359819</v>
      </c>
      <c r="C2">
        <v>2.581504169481402</v>
      </c>
      <c r="D2">
        <v>5.2834611989705706</v>
      </c>
      <c r="E2">
        <v>3.0939457282116338</v>
      </c>
      <c r="F2">
        <v>3.7441648011497746</v>
      </c>
      <c r="G2">
        <v>9.4900056240586999</v>
      </c>
      <c r="H2">
        <v>3.9560090746969832</v>
      </c>
      <c r="I2">
        <v>3.3155489816334049</v>
      </c>
      <c r="J2">
        <v>4.643221186148403</v>
      </c>
    </row>
    <row r="3" spans="1:12" x14ac:dyDescent="0.25">
      <c r="A3" t="s">
        <v>30</v>
      </c>
      <c r="B3">
        <v>8.2895263622615403</v>
      </c>
      <c r="C3">
        <v>5.1748453793421314</v>
      </c>
      <c r="D3">
        <v>3.6652842291351231</v>
      </c>
      <c r="E3">
        <v>4.3756701611555062</v>
      </c>
      <c r="F3">
        <v>3.4906648163618832</v>
      </c>
      <c r="G3">
        <v>5.4293864713171835</v>
      </c>
      <c r="H3">
        <v>2.6583521458485295</v>
      </c>
      <c r="I3">
        <v>4.1214564981426962</v>
      </c>
      <c r="J3">
        <v>5.6019166147164992</v>
      </c>
    </row>
    <row r="4" spans="1:12" x14ac:dyDescent="0.25">
      <c r="A4" t="s">
        <v>31</v>
      </c>
      <c r="B4">
        <v>4.5445587801665344</v>
      </c>
      <c r="C4">
        <v>3.6199806979597144</v>
      </c>
      <c r="D4">
        <v>9.2952450558035675</v>
      </c>
      <c r="E4">
        <v>10.501844936827556</v>
      </c>
      <c r="F4">
        <v>6.3021714488799727</v>
      </c>
      <c r="G4">
        <v>7.3085792289248852</v>
      </c>
      <c r="H4">
        <v>8.114549342833083</v>
      </c>
      <c r="I4">
        <v>7.6065139394097283</v>
      </c>
      <c r="J4">
        <v>6.2673059953712418</v>
      </c>
    </row>
    <row r="5" spans="1:12" x14ac:dyDescent="0.25">
      <c r="A5" t="s">
        <v>32</v>
      </c>
      <c r="B5">
        <v>5.4981933886360173</v>
      </c>
      <c r="C5">
        <v>6.2451272596569325</v>
      </c>
      <c r="D5">
        <v>7.4181467817314513</v>
      </c>
      <c r="E5">
        <v>7.5311239996027606</v>
      </c>
      <c r="F5">
        <v>11.880609211357488</v>
      </c>
      <c r="G5">
        <v>7.9162465695439241</v>
      </c>
      <c r="H5">
        <v>10.086091793059538</v>
      </c>
      <c r="I5">
        <v>7.1417491044442452</v>
      </c>
      <c r="J5">
        <v>9.2425326879093408</v>
      </c>
    </row>
    <row r="6" spans="1:12" x14ac:dyDescent="0.25">
      <c r="A6" t="s">
        <v>33</v>
      </c>
      <c r="B6">
        <v>6.5686760236056987</v>
      </c>
      <c r="C6">
        <v>5.044440336191907</v>
      </c>
      <c r="D6">
        <v>6.152583602963964</v>
      </c>
      <c r="E6">
        <v>7.6166949333869365</v>
      </c>
      <c r="F6">
        <v>8.243092026683934</v>
      </c>
      <c r="G6">
        <v>11.802069687762177</v>
      </c>
      <c r="H6">
        <v>11.225220663929145</v>
      </c>
      <c r="I6">
        <v>8.0681478304081757</v>
      </c>
      <c r="J6">
        <v>5.1573063447149128</v>
      </c>
    </row>
    <row r="7" spans="1:12" x14ac:dyDescent="0.25">
      <c r="A7" t="s">
        <v>34</v>
      </c>
      <c r="B7">
        <v>11.858811763503276</v>
      </c>
      <c r="C7">
        <v>5.082316765403351</v>
      </c>
      <c r="D7">
        <v>3.3559782365714983</v>
      </c>
      <c r="E7">
        <v>8.5862665530989748</v>
      </c>
      <c r="F7">
        <v>5.5024809672083643</v>
      </c>
      <c r="G7">
        <v>11.0065085086928</v>
      </c>
      <c r="H7">
        <v>11.675779610758743</v>
      </c>
      <c r="I7">
        <v>12.766665034212915</v>
      </c>
      <c r="J7">
        <v>11.841726191424577</v>
      </c>
    </row>
    <row r="8" spans="1:12" x14ac:dyDescent="0.25">
      <c r="A8" t="s">
        <v>35</v>
      </c>
      <c r="B8">
        <v>5.3621639380281598</v>
      </c>
      <c r="C8">
        <v>2.9031944145483077</v>
      </c>
      <c r="D8">
        <v>3.3038773254562477</v>
      </c>
      <c r="E8">
        <v>3.2445298572500314</v>
      </c>
      <c r="F8">
        <v>2.3702144391138082</v>
      </c>
      <c r="G8">
        <v>2.021044589650637</v>
      </c>
      <c r="H8">
        <v>4.6929468538323178</v>
      </c>
      <c r="I8">
        <v>3.7840391324349043</v>
      </c>
      <c r="J8">
        <v>3.0644202447856852</v>
      </c>
    </row>
    <row r="9" spans="1:12" x14ac:dyDescent="0.25">
      <c r="A9" t="s">
        <v>36</v>
      </c>
      <c r="B9">
        <v>2.9069984586380766</v>
      </c>
      <c r="C9">
        <v>6.6113968266779839</v>
      </c>
      <c r="D9">
        <v>3.2393608631384416</v>
      </c>
      <c r="E9">
        <v>2.771339805079867</v>
      </c>
      <c r="F9">
        <v>5.2081502472522869</v>
      </c>
      <c r="G9">
        <v>4.7397418179665936</v>
      </c>
      <c r="H9">
        <v>4.3888283711879721</v>
      </c>
      <c r="I9">
        <v>3.7397414340175756</v>
      </c>
      <c r="J9">
        <v>4.6067619148921635</v>
      </c>
    </row>
    <row r="10" spans="1:12" x14ac:dyDescent="0.25">
      <c r="A10" t="s">
        <v>37</v>
      </c>
      <c r="B10">
        <v>4.0345456910351745</v>
      </c>
      <c r="C10">
        <v>3.3571714001818673</v>
      </c>
      <c r="D10">
        <v>3.3612167776684938</v>
      </c>
      <c r="E10">
        <v>6.0042452630496213</v>
      </c>
      <c r="F10">
        <v>1.3835447193726871</v>
      </c>
      <c r="G10">
        <v>9.2335200476770662</v>
      </c>
      <c r="H10">
        <v>16.288451453225406</v>
      </c>
      <c r="I10">
        <v>7.0842014081477416</v>
      </c>
      <c r="J10">
        <v>9.4431822524365607</v>
      </c>
    </row>
    <row r="11" spans="1:12" x14ac:dyDescent="0.25">
      <c r="A11" t="s">
        <v>38</v>
      </c>
      <c r="B11">
        <v>3.7571121895799355</v>
      </c>
      <c r="C11">
        <v>3.7728078138345857</v>
      </c>
      <c r="D11">
        <v>2.2408641393318378</v>
      </c>
      <c r="E11">
        <v>3.403395959173773</v>
      </c>
      <c r="F11">
        <v>3.7268174322951615</v>
      </c>
      <c r="G11">
        <v>1.821507297191209</v>
      </c>
      <c r="H11">
        <v>8.7292119279397919</v>
      </c>
      <c r="I11">
        <v>5.7483017818564921</v>
      </c>
      <c r="J11">
        <v>2.8712827023568877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A63F-D7AF-43CF-B6E6-E01A84121C52}">
  <dimension ref="A1:L18"/>
  <sheetViews>
    <sheetView zoomScale="130" zoomScaleNormal="130" workbookViewId="0">
      <selection activeCell="N8" sqref="N8"/>
    </sheetView>
  </sheetViews>
  <sheetFormatPr defaultRowHeight="15" x14ac:dyDescent="0.25"/>
  <cols>
    <col min="1" max="1" width="20.42578125" customWidth="1"/>
  </cols>
  <sheetData>
    <row r="1" spans="1:12" x14ac:dyDescent="0.25">
      <c r="A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L1" s="2" t="s">
        <v>12</v>
      </c>
    </row>
    <row r="2" spans="1:12" x14ac:dyDescent="0.25">
      <c r="A2" t="str">
        <f>T_All_K1_N10_P30[[#This Row],[Identifier]]</f>
        <v>ed39dc41af8ce5094c42eb7a1315df1cfce6f13daaf31c8a98d88b735c0ed544</v>
      </c>
      <c r="B2">
        <f>T_All_K1_N10_P30[[#This Row],[0]]</f>
        <v>4.4589591277359819</v>
      </c>
      <c r="C2">
        <f>T_All_K1_N10_P30[[#This Row],[1]]</f>
        <v>2.581504169481402</v>
      </c>
      <c r="D2">
        <f>T_All_K1_N10_P30[[#This Row],[2]]</f>
        <v>5.2834611989705706</v>
      </c>
      <c r="E2">
        <f>T_All_K1_N10_P30[[#This Row],[3]]</f>
        <v>3.0939457282116338</v>
      </c>
      <c r="F2">
        <f>T_All_K1_N10_P30[[#This Row],[4]]</f>
        <v>3.7441648011497746</v>
      </c>
      <c r="G2">
        <f>T_All_K1_N10_P30[[#This Row],[5]]</f>
        <v>9.4900056240586999</v>
      </c>
      <c r="H2">
        <f>T_All_K1_N10_P30[[#This Row],[6]]</f>
        <v>3.9560090746969832</v>
      </c>
      <c r="I2">
        <f>T_All_K1_N10_P30[[#This Row],[7]]</f>
        <v>3.3155489816334049</v>
      </c>
      <c r="J2">
        <f>T_All_K1_N10_P30[[#This Row],[8]]</f>
        <v>4.643221186148403</v>
      </c>
      <c r="L2" s="3">
        <f t="shared" ref="L2:L11" si="0">RSQ(B2:J2,$B$1:$J$1)</f>
        <v>2.2226717897215382E-2</v>
      </c>
    </row>
    <row r="3" spans="1:12" x14ac:dyDescent="0.25">
      <c r="A3" t="str">
        <f>T_All_K1_N10_P30[[#This Row],[Identifier]]</f>
        <v>c94578c35e71e0a2c7c32756d38e14820af87f7e489572d75feffd00964202dc</v>
      </c>
      <c r="B3">
        <f>T_All_K1_N10_P30[[#This Row],[0]]</f>
        <v>8.2895263622615403</v>
      </c>
      <c r="C3">
        <f>T_All_K1_N10_P30[[#This Row],[1]]</f>
        <v>5.1748453793421314</v>
      </c>
      <c r="D3">
        <f>T_All_K1_N10_P30[[#This Row],[2]]</f>
        <v>3.6652842291351231</v>
      </c>
      <c r="E3">
        <f>T_All_K1_N10_P30[[#This Row],[3]]</f>
        <v>4.3756701611555062</v>
      </c>
      <c r="F3">
        <f>T_All_K1_N10_P30[[#This Row],[4]]</f>
        <v>3.4906648163618832</v>
      </c>
      <c r="G3">
        <f>T_All_K1_N10_P30[[#This Row],[5]]</f>
        <v>5.4293864713171835</v>
      </c>
      <c r="H3">
        <f>T_All_K1_N10_P30[[#This Row],[6]]</f>
        <v>2.6583521458485295</v>
      </c>
      <c r="I3">
        <f>T_All_K1_N10_P30[[#This Row],[7]]</f>
        <v>4.1214564981426962</v>
      </c>
      <c r="J3">
        <f>T_All_K1_N10_P30[[#This Row],[8]]</f>
        <v>5.6019166147164992</v>
      </c>
      <c r="L3" s="3">
        <f t="shared" si="0"/>
        <v>0.17088201918656024</v>
      </c>
    </row>
    <row r="4" spans="1:12" x14ac:dyDescent="0.25">
      <c r="A4" t="str">
        <f>T_All_K1_N10_P30[[#This Row],[Identifier]]</f>
        <v>ecc1974debcca40a975594d41197df10f396c4995fe1ad0f6d686174885b918a</v>
      </c>
      <c r="B4">
        <f>T_All_K1_N10_P30[[#This Row],[0]]</f>
        <v>4.5445587801665344</v>
      </c>
      <c r="C4">
        <f>T_All_K1_N10_P30[[#This Row],[1]]</f>
        <v>3.6199806979597144</v>
      </c>
      <c r="D4">
        <f>T_All_K1_N10_P30[[#This Row],[2]]</f>
        <v>9.2952450558035675</v>
      </c>
      <c r="E4">
        <f>T_All_K1_N10_P30[[#This Row],[3]]</f>
        <v>10.501844936827556</v>
      </c>
      <c r="F4">
        <f>T_All_K1_N10_P30[[#This Row],[4]]</f>
        <v>6.3021714488799727</v>
      </c>
      <c r="G4">
        <f>T_All_K1_N10_P30[[#This Row],[5]]</f>
        <v>7.3085792289248852</v>
      </c>
      <c r="H4">
        <f>T_All_K1_N10_P30[[#This Row],[6]]</f>
        <v>8.114549342833083</v>
      </c>
      <c r="I4">
        <f>T_All_K1_N10_P30[[#This Row],[7]]</f>
        <v>7.6065139394097283</v>
      </c>
      <c r="J4">
        <f>T_All_K1_N10_P30[[#This Row],[8]]</f>
        <v>6.2673059953712418</v>
      </c>
      <c r="L4" s="3">
        <f t="shared" si="0"/>
        <v>7.8196515699353181E-2</v>
      </c>
    </row>
    <row r="5" spans="1:12" x14ac:dyDescent="0.25">
      <c r="A5" t="str">
        <f>T_All_K1_N10_P30[[#This Row],[Identifier]]</f>
        <v>4feb3e7374eac718b0a2b5f65c50d23f6564b946686fbe148a0155cc2fc9e51a</v>
      </c>
      <c r="B5">
        <f>T_All_K1_N10_P30[[#This Row],[0]]</f>
        <v>5.4981933886360173</v>
      </c>
      <c r="C5">
        <f>T_All_K1_N10_P30[[#This Row],[1]]</f>
        <v>6.2451272596569325</v>
      </c>
      <c r="D5">
        <f>T_All_K1_N10_P30[[#This Row],[2]]</f>
        <v>7.4181467817314513</v>
      </c>
      <c r="E5">
        <f>T_All_K1_N10_P30[[#This Row],[3]]</f>
        <v>7.5311239996027606</v>
      </c>
      <c r="F5">
        <f>T_All_K1_N10_P30[[#This Row],[4]]</f>
        <v>11.880609211357488</v>
      </c>
      <c r="G5">
        <f>T_All_K1_N10_P30[[#This Row],[5]]</f>
        <v>7.9162465695439241</v>
      </c>
      <c r="H5">
        <f>T_All_K1_N10_P30[[#This Row],[6]]</f>
        <v>10.086091793059538</v>
      </c>
      <c r="I5">
        <f>T_All_K1_N10_P30[[#This Row],[7]]</f>
        <v>7.1417491044442452</v>
      </c>
      <c r="J5">
        <f>T_All_K1_N10_P30[[#This Row],[8]]</f>
        <v>9.2425326879093408</v>
      </c>
      <c r="L5" s="3">
        <f t="shared" si="0"/>
        <v>0.28948687463810396</v>
      </c>
    </row>
    <row r="6" spans="1:12" x14ac:dyDescent="0.25">
      <c r="A6" t="str">
        <f>T_All_K1_N10_P30[[#This Row],[Identifier]]</f>
        <v>a4cd02eb48979601026998efdd2ef8372c889be16d88f3775be7ce91cdd32b0c</v>
      </c>
      <c r="B6">
        <f>T_All_K1_N10_P30[[#This Row],[0]]</f>
        <v>6.5686760236056987</v>
      </c>
      <c r="C6">
        <f>T_All_K1_N10_P30[[#This Row],[1]]</f>
        <v>5.044440336191907</v>
      </c>
      <c r="D6">
        <f>T_All_K1_N10_P30[[#This Row],[2]]</f>
        <v>6.152583602963964</v>
      </c>
      <c r="E6">
        <f>T_All_K1_N10_P30[[#This Row],[3]]</f>
        <v>7.6166949333869365</v>
      </c>
      <c r="F6">
        <f>T_All_K1_N10_P30[[#This Row],[4]]</f>
        <v>8.243092026683934</v>
      </c>
      <c r="G6">
        <f>T_All_K1_N10_P30[[#This Row],[5]]</f>
        <v>11.802069687762177</v>
      </c>
      <c r="H6">
        <f>T_All_K1_N10_P30[[#This Row],[6]]</f>
        <v>11.225220663929145</v>
      </c>
      <c r="I6">
        <f>T_All_K1_N10_P30[[#This Row],[7]]</f>
        <v>8.0681478304081757</v>
      </c>
      <c r="J6">
        <f>T_All_K1_N10_P30[[#This Row],[8]]</f>
        <v>5.1573063447149128</v>
      </c>
      <c r="L6" s="3">
        <f t="shared" si="0"/>
        <v>0.11217080282215644</v>
      </c>
    </row>
    <row r="7" spans="1:12" x14ac:dyDescent="0.25">
      <c r="A7" t="str">
        <f>T_All_K1_N10_P30[[#This Row],[Identifier]]</f>
        <v>ba5f2964b40092a4bbee663a90603e3b1e7342368088a5db208644dd552a717f</v>
      </c>
      <c r="B7">
        <f>T_All_K1_N10_P30[[#This Row],[0]]</f>
        <v>11.858811763503276</v>
      </c>
      <c r="C7">
        <f>T_All_K1_N10_P30[[#This Row],[1]]</f>
        <v>5.082316765403351</v>
      </c>
      <c r="D7">
        <f>T_All_K1_N10_P30[[#This Row],[2]]</f>
        <v>3.3559782365714983</v>
      </c>
      <c r="E7">
        <f>T_All_K1_N10_P30[[#This Row],[3]]</f>
        <v>8.5862665530989748</v>
      </c>
      <c r="F7">
        <f>T_All_K1_N10_P30[[#This Row],[4]]</f>
        <v>5.5024809672083643</v>
      </c>
      <c r="G7">
        <f>T_All_K1_N10_P30[[#This Row],[5]]</f>
        <v>11.0065085086928</v>
      </c>
      <c r="H7">
        <f>T_All_K1_N10_P30[[#This Row],[6]]</f>
        <v>11.675779610758743</v>
      </c>
      <c r="I7">
        <f>T_All_K1_N10_P30[[#This Row],[7]]</f>
        <v>12.766665034212915</v>
      </c>
      <c r="J7">
        <f>T_All_K1_N10_P30[[#This Row],[8]]</f>
        <v>11.841726191424577</v>
      </c>
      <c r="L7" s="3">
        <f t="shared" si="0"/>
        <v>0.29119363219777872</v>
      </c>
    </row>
    <row r="8" spans="1:12" x14ac:dyDescent="0.25">
      <c r="A8" t="str">
        <f>T_All_K1_N10_P30[[#This Row],[Identifier]]</f>
        <v>b8a96f55b87396f898166431c001b57e01996adf68e49870ceb5b781dbc79b45</v>
      </c>
      <c r="B8">
        <f>T_All_K1_N10_P30[[#This Row],[0]]</f>
        <v>5.3621639380281598</v>
      </c>
      <c r="C8">
        <f>T_All_K1_N10_P30[[#This Row],[1]]</f>
        <v>2.9031944145483077</v>
      </c>
      <c r="D8">
        <f>T_All_K1_N10_P30[[#This Row],[2]]</f>
        <v>3.3038773254562477</v>
      </c>
      <c r="E8">
        <f>T_All_K1_N10_P30[[#This Row],[3]]</f>
        <v>3.2445298572500314</v>
      </c>
      <c r="F8">
        <f>T_All_K1_N10_P30[[#This Row],[4]]</f>
        <v>2.3702144391138082</v>
      </c>
      <c r="G8">
        <f>T_All_K1_N10_P30[[#This Row],[5]]</f>
        <v>2.021044589650637</v>
      </c>
      <c r="H8">
        <f>T_All_K1_N10_P30[[#This Row],[6]]</f>
        <v>4.6929468538323178</v>
      </c>
      <c r="I8">
        <f>T_All_K1_N10_P30[[#This Row],[7]]</f>
        <v>3.7840391324349043</v>
      </c>
      <c r="J8">
        <f>T_All_K1_N10_P30[[#This Row],[8]]</f>
        <v>3.0644202447856852</v>
      </c>
      <c r="L8" s="3">
        <f t="shared" si="0"/>
        <v>4.6070132023303408E-2</v>
      </c>
    </row>
    <row r="9" spans="1:12" x14ac:dyDescent="0.25">
      <c r="A9" t="str">
        <f>T_All_K1_N10_P30[[#This Row],[Identifier]]</f>
        <v>8e2f002622159c9c9a0e37d6caad774a07aeb8deed43f7ce0774f60986f44689</v>
      </c>
      <c r="B9">
        <f>T_All_K1_N10_P30[[#This Row],[0]]</f>
        <v>2.9069984586380766</v>
      </c>
      <c r="C9">
        <f>T_All_K1_N10_P30[[#This Row],[1]]</f>
        <v>6.6113968266779839</v>
      </c>
      <c r="D9">
        <f>T_All_K1_N10_P30[[#This Row],[2]]</f>
        <v>3.2393608631384416</v>
      </c>
      <c r="E9">
        <f>T_All_K1_N10_P30[[#This Row],[3]]</f>
        <v>2.771339805079867</v>
      </c>
      <c r="F9">
        <f>T_All_K1_N10_P30[[#This Row],[4]]</f>
        <v>5.2081502472522869</v>
      </c>
      <c r="G9">
        <f>T_All_K1_N10_P30[[#This Row],[5]]</f>
        <v>4.7397418179665936</v>
      </c>
      <c r="H9">
        <f>T_All_K1_N10_P30[[#This Row],[6]]</f>
        <v>4.3888283711879721</v>
      </c>
      <c r="I9">
        <f>T_All_K1_N10_P30[[#This Row],[7]]</f>
        <v>3.7397414340175756</v>
      </c>
      <c r="J9">
        <f>T_All_K1_N10_P30[[#This Row],[8]]</f>
        <v>4.6067619148921635</v>
      </c>
      <c r="L9" s="3">
        <f t="shared" si="0"/>
        <v>8.241878301555268E-3</v>
      </c>
    </row>
    <row r="10" spans="1:12" x14ac:dyDescent="0.25">
      <c r="A10" t="str">
        <f>T_All_K1_N10_P30[[#This Row],[Identifier]]</f>
        <v>64115882c0e848d41188d8b7c2b7dfdbb5f0f98958b855881b0a1613b5293567</v>
      </c>
      <c r="B10">
        <f>T_All_K1_N10_P30[[#This Row],[0]]</f>
        <v>4.0345456910351745</v>
      </c>
      <c r="C10">
        <f>T_All_K1_N10_P30[[#This Row],[1]]</f>
        <v>3.3571714001818673</v>
      </c>
      <c r="D10">
        <f>T_All_K1_N10_P30[[#This Row],[2]]</f>
        <v>3.3612167776684938</v>
      </c>
      <c r="E10">
        <f>T_All_K1_N10_P30[[#This Row],[3]]</f>
        <v>6.0042452630496213</v>
      </c>
      <c r="F10">
        <f>T_All_K1_N10_P30[[#This Row],[4]]</f>
        <v>1.3835447193726871</v>
      </c>
      <c r="G10">
        <f>T_All_K1_N10_P30[[#This Row],[5]]</f>
        <v>9.2335200476770662</v>
      </c>
      <c r="H10">
        <f>T_All_K1_N10_P30[[#This Row],[6]]</f>
        <v>16.288451453225406</v>
      </c>
      <c r="I10">
        <f>T_All_K1_N10_P30[[#This Row],[7]]</f>
        <v>7.0842014081477416</v>
      </c>
      <c r="J10">
        <f>T_All_K1_N10_P30[[#This Row],[8]]</f>
        <v>9.4431822524365607</v>
      </c>
      <c r="L10" s="3">
        <f t="shared" si="0"/>
        <v>0.38890009832258893</v>
      </c>
    </row>
    <row r="11" spans="1:12" x14ac:dyDescent="0.25">
      <c r="A11" t="str">
        <f>T_All_K1_N10_P30[[#This Row],[Identifier]]</f>
        <v>bff27cb1b0fcc45bcb6d59b6acec57d28af63d225641777b4e07970ce88d1622</v>
      </c>
      <c r="B11">
        <f>T_All_K1_N10_P30[[#This Row],[0]]</f>
        <v>3.7571121895799355</v>
      </c>
      <c r="C11">
        <f>T_All_K1_N10_P30[[#This Row],[1]]</f>
        <v>3.7728078138345857</v>
      </c>
      <c r="D11">
        <f>T_All_K1_N10_P30[[#This Row],[2]]</f>
        <v>2.2408641393318378</v>
      </c>
      <c r="E11">
        <f>T_All_K1_N10_P30[[#This Row],[3]]</f>
        <v>3.403395959173773</v>
      </c>
      <c r="F11">
        <f>T_All_K1_N10_P30[[#This Row],[4]]</f>
        <v>3.7268174322951615</v>
      </c>
      <c r="G11">
        <f>T_All_K1_N10_P30[[#This Row],[5]]</f>
        <v>1.821507297191209</v>
      </c>
      <c r="H11">
        <f>T_All_K1_N10_P30[[#This Row],[6]]</f>
        <v>8.7292119279397919</v>
      </c>
      <c r="I11">
        <f>T_All_K1_N10_P30[[#This Row],[7]]</f>
        <v>5.7483017818564921</v>
      </c>
      <c r="J11">
        <f>T_All_K1_N10_P30[[#This Row],[8]]</f>
        <v>2.8712827023568877</v>
      </c>
      <c r="L11" s="3">
        <f t="shared" si="0"/>
        <v>9.0197964173577644E-2</v>
      </c>
    </row>
    <row r="14" spans="1:12" x14ac:dyDescent="0.25">
      <c r="K14" s="2" t="s">
        <v>13</v>
      </c>
      <c r="L14" s="3">
        <f>AVERAGE(L2:L11)</f>
        <v>0.14975666352621933</v>
      </c>
    </row>
    <row r="15" spans="1:12" x14ac:dyDescent="0.25">
      <c r="L15" s="3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 t="s">
        <v>14</v>
      </c>
    </row>
    <row r="18" spans="1:12" x14ac:dyDescent="0.25">
      <c r="A18" s="6" t="s">
        <v>15</v>
      </c>
      <c r="B18" s="5">
        <f>AVERAGE(B2:B11)</f>
        <v>5.7279545723190406</v>
      </c>
      <c r="C18" s="5">
        <f t="shared" ref="C18:J18" si="1">AVERAGE(C2:C11)</f>
        <v>4.4392785063278186</v>
      </c>
      <c r="D18" s="5">
        <f t="shared" si="1"/>
        <v>4.7316018210771205</v>
      </c>
      <c r="E18" s="5">
        <f t="shared" si="1"/>
        <v>5.7129057196836657</v>
      </c>
      <c r="F18" s="5">
        <f t="shared" si="1"/>
        <v>5.1851910109675359</v>
      </c>
      <c r="G18" s="5">
        <f t="shared" si="1"/>
        <v>7.0768609842785164</v>
      </c>
      <c r="H18" s="5">
        <f t="shared" si="1"/>
        <v>8.1815441237311504</v>
      </c>
      <c r="I18" s="5">
        <f t="shared" si="1"/>
        <v>6.3376365144707876</v>
      </c>
      <c r="J18" s="5">
        <f t="shared" si="1"/>
        <v>6.2739656134756263</v>
      </c>
      <c r="K18" s="5"/>
      <c r="L18" s="5">
        <f>RSQ(B1:J1,B18:J18)</f>
        <v>0.39626308103244451</v>
      </c>
    </row>
  </sheetData>
  <conditionalFormatting sqref="L1:L1048576">
    <cfRule type="containsBlanks" dxfId="7" priority="1">
      <formula>LEN(TRIM(L1))=0</formula>
    </cfRule>
    <cfRule type="cellIs" dxfId="6" priority="2" operator="between">
      <formula>0</formula>
      <formula>0.1</formula>
    </cfRule>
    <cfRule type="cellIs" dxfId="5" priority="3" operator="greaterThan">
      <formula>0.2</formula>
    </cfRule>
    <cfRule type="cellIs" dxfId="4" priority="4" operator="between">
      <formula>0.1</formula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3FFE-1256-4A00-AF3F-70013C27B583}">
  <dimension ref="A1:L18"/>
  <sheetViews>
    <sheetView tabSelected="1" topLeftCell="C1" zoomScaleNormal="100" workbookViewId="0">
      <selection activeCell="L15" sqref="L15"/>
    </sheetView>
  </sheetViews>
  <sheetFormatPr defaultRowHeight="15" x14ac:dyDescent="0.25"/>
  <cols>
    <col min="1" max="1" width="67.5703125" bestFit="1" customWidth="1"/>
    <col min="2" max="2" width="9.5703125" bestFit="1" customWidth="1"/>
    <col min="11" max="11" width="17.5703125" customWidth="1"/>
  </cols>
  <sheetData>
    <row r="1" spans="1:12" x14ac:dyDescent="0.25">
      <c r="A1" s="2" t="s">
        <v>16</v>
      </c>
      <c r="B1" s="2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K1" s="2" t="s">
        <v>28</v>
      </c>
      <c r="L1" s="2" t="s">
        <v>26</v>
      </c>
    </row>
    <row r="2" spans="1:12" x14ac:dyDescent="0.25">
      <c r="A2" t="str">
        <f>T_All_K1_N10_P30[[#This Row],[Identifier]]</f>
        <v>ed39dc41af8ce5094c42eb7a1315df1cfce6f13daaf31c8a98d88b735c0ed544</v>
      </c>
      <c r="B2">
        <f>(T_All_K1_N10_P30[[#This Row],[1]]-T_All_K1_N10_P30[[#This Row],[0]])/(ABS(T_All_K1_N10_P30[[#This Row],[0]]))</f>
        <v>-0.42105229145884765</v>
      </c>
      <c r="C2">
        <f>(T_All_K1_N10_P30[[#This Row],[2]]-T_All_K1_N10_P30[[#This Row],[1]])/(ABS(T_All_K1_N10_P30[[#This Row],[1]]))</f>
        <v>1.0466599517567172</v>
      </c>
      <c r="D2">
        <f>(T_All_K1_N10_P30[[#This Row],[3]]-T_All_K1_N10_P30[[#This Row],[2]])/(ABS(T_All_K1_N10_P30[[#This Row],[2]]))</f>
        <v>-0.41440930259609776</v>
      </c>
      <c r="E2">
        <f>(T_All_K1_N10_P30[[#This Row],[4]]-T_All_K1_N10_P30[[#This Row],[3]])/(ABS(T_All_K1_N10_P30[[#This Row],[3]]))</f>
        <v>0.21015852573276428</v>
      </c>
      <c r="F2">
        <f>(T_All_K1_N10_P30[[#This Row],[5]]-T_All_K1_N10_P30[[#This Row],[4]])/(ABS(T_All_K1_N10_P30[[#This Row],[4]]))</f>
        <v>1.5346121573346523</v>
      </c>
      <c r="G2">
        <f>(T_All_K1_N10_P30[[#This Row],[6]]-T_All_K1_N10_P30[[#This Row],[5]])/(ABS(T_All_K1_N10_P30[[#This Row],[5]]))</f>
        <v>-0.58313943832995641</v>
      </c>
      <c r="H2">
        <f>(T_All_K1_N10_P30[[#This Row],[7]]-T_All_K1_N10_P30[[#This Row],[6]])/(ABS(T_All_K1_N10_P30[[#This Row],[6]]))</f>
        <v>-0.16189550654977586</v>
      </c>
      <c r="I2">
        <f>(T_All_K1_N10_P30[[#This Row],[8]]-T_All_K1_N10_P30[[#This Row],[7]])/(ABS(T_All_K1_N10_P30[[#This Row],[7]]))</f>
        <v>0.40043812106824023</v>
      </c>
      <c r="K2">
        <f>AVERAGE(B2:I2)</f>
        <v>0.20142152711971203</v>
      </c>
      <c r="L2">
        <f>(T_All_K1_N10_P30[[#This Row],[8]]-T_All_K1_N10_P30[[#This Row],[0]])/ABS(T_All_K1_N10_P30[[#This Row],[0]])</f>
        <v>4.1324007046007472E-2</v>
      </c>
    </row>
    <row r="3" spans="1:12" x14ac:dyDescent="0.25">
      <c r="A3" t="str">
        <f>T_All_K1_N10_P30[[#This Row],[Identifier]]</f>
        <v>c94578c35e71e0a2c7c32756d38e14820af87f7e489572d75feffd00964202dc</v>
      </c>
      <c r="B3">
        <f>(T_All_K1_N10_P30[[#This Row],[1]]-T_All_K1_N10_P30[[#This Row],[0]])/(ABS(T_All_K1_N10_P30[[#This Row],[0]]))</f>
        <v>-0.37573690543999483</v>
      </c>
      <c r="C3">
        <f>(T_All_K1_N10_P30[[#This Row],[2]]-T_All_K1_N10_P30[[#This Row],[1]])/(ABS(T_All_K1_N10_P30[[#This Row],[1]]))</f>
        <v>-0.29171135358616573</v>
      </c>
      <c r="D3">
        <f>(T_All_K1_N10_P30[[#This Row],[3]]-T_All_K1_N10_P30[[#This Row],[2]])/(ABS(T_All_K1_N10_P30[[#This Row],[2]]))</f>
        <v>0.19381469147019165</v>
      </c>
      <c r="E3">
        <f>(T_All_K1_N10_P30[[#This Row],[4]]-T_All_K1_N10_P30[[#This Row],[3]])/(ABS(T_All_K1_N10_P30[[#This Row],[3]]))</f>
        <v>-0.20225595444788166</v>
      </c>
      <c r="F3">
        <f>(T_All_K1_N10_P30[[#This Row],[5]]-T_All_K1_N10_P30[[#This Row],[4]])/(ABS(T_All_K1_N10_P30[[#This Row],[4]]))</f>
        <v>0.55540183803036036</v>
      </c>
      <c r="G3">
        <f>(T_All_K1_N10_P30[[#This Row],[6]]-T_All_K1_N10_P30[[#This Row],[5]])/(ABS(T_All_K1_N10_P30[[#This Row],[5]]))</f>
        <v>-0.51037706380043224</v>
      </c>
      <c r="H3">
        <f>(T_All_K1_N10_P30[[#This Row],[7]]-T_All_K1_N10_P30[[#This Row],[6]])/(ABS(T_All_K1_N10_P30[[#This Row],[6]]))</f>
        <v>0.55038018743267469</v>
      </c>
      <c r="I3">
        <f>(T_All_K1_N10_P30[[#This Row],[8]]-T_All_K1_N10_P30[[#This Row],[7]])/(ABS(T_All_K1_N10_P30[[#This Row],[7]]))</f>
        <v>0.35920799291244765</v>
      </c>
      <c r="K3">
        <f t="shared" ref="K3:K10" si="0">AVERAGE(B3:I3)</f>
        <v>3.4840429071399989E-2</v>
      </c>
      <c r="L3">
        <f>(T_All_K1_N10_P30[[#This Row],[8]]-T_All_K1_N10_P30[[#This Row],[0]])/ABS(T_All_K1_N10_P30[[#This Row],[0]])</f>
        <v>-0.32421752825113281</v>
      </c>
    </row>
    <row r="4" spans="1:12" x14ac:dyDescent="0.25">
      <c r="A4" t="str">
        <f>T_All_K1_N10_P30[[#This Row],[Identifier]]</f>
        <v>ecc1974debcca40a975594d41197df10f396c4995fe1ad0f6d686174885b918a</v>
      </c>
      <c r="B4">
        <f>(T_All_K1_N10_P30[[#This Row],[1]]-T_All_K1_N10_P30[[#This Row],[0]])/(ABS(T_All_K1_N10_P30[[#This Row],[0]]))</f>
        <v>-0.20344727110624786</v>
      </c>
      <c r="C4">
        <f>(T_All_K1_N10_P30[[#This Row],[2]]-T_All_K1_N10_P30[[#This Row],[1]])/(ABS(T_All_K1_N10_P30[[#This Row],[1]]))</f>
        <v>1.5677609444278342</v>
      </c>
      <c r="D4">
        <f>(T_All_K1_N10_P30[[#This Row],[3]]-T_All_K1_N10_P30[[#This Row],[2]])/(ABS(T_All_K1_N10_P30[[#This Row],[2]]))</f>
        <v>0.1298082916351557</v>
      </c>
      <c r="E4">
        <f>(T_All_K1_N10_P30[[#This Row],[4]]-T_All_K1_N10_P30[[#This Row],[3]])/(ABS(T_All_K1_N10_P30[[#This Row],[3]]))</f>
        <v>-0.39989863811646026</v>
      </c>
      <c r="F4">
        <f>(T_All_K1_N10_P30[[#This Row],[5]]-T_All_K1_N10_P30[[#This Row],[4]])/(ABS(T_All_K1_N10_P30[[#This Row],[4]]))</f>
        <v>0.1596922248479565</v>
      </c>
      <c r="G4">
        <f>(T_All_K1_N10_P30[[#This Row],[6]]-T_All_K1_N10_P30[[#This Row],[5]])/(ABS(T_All_K1_N10_P30[[#This Row],[5]]))</f>
        <v>0.11027726301692682</v>
      </c>
      <c r="H4">
        <f>(T_All_K1_N10_P30[[#This Row],[7]]-T_All_K1_N10_P30[[#This Row],[6]])/(ABS(T_All_K1_N10_P30[[#This Row],[6]]))</f>
        <v>-6.2607962803511788E-2</v>
      </c>
      <c r="I4">
        <f>(T_All_K1_N10_P30[[#This Row],[8]]-T_All_K1_N10_P30[[#This Row],[7]])/(ABS(T_All_K1_N10_P30[[#This Row],[7]]))</f>
        <v>-0.17606067046035154</v>
      </c>
      <c r="K4">
        <f t="shared" si="0"/>
        <v>0.14069052268016272</v>
      </c>
      <c r="L4">
        <f>(T_All_K1_N10_P30[[#This Row],[8]]-T_All_K1_N10_P30[[#This Row],[0]])/ABS(T_All_K1_N10_P30[[#This Row],[0]])</f>
        <v>0.37907909184124972</v>
      </c>
    </row>
    <row r="5" spans="1:12" x14ac:dyDescent="0.25">
      <c r="A5" t="str">
        <f>T_All_K1_N10_P30[[#This Row],[Identifier]]</f>
        <v>4feb3e7374eac718b0a2b5f65c50d23f6564b946686fbe148a0155cc2fc9e51a</v>
      </c>
      <c r="B5">
        <f>(T_All_K1_N10_P30[[#This Row],[1]]-T_All_K1_N10_P30[[#This Row],[0]])/(ABS(T_All_K1_N10_P30[[#This Row],[0]]))</f>
        <v>0.13585078192497216</v>
      </c>
      <c r="C5">
        <f>(T_All_K1_N10_P30[[#This Row],[2]]-T_All_K1_N10_P30[[#This Row],[1]])/(ABS(T_All_K1_N10_P30[[#This Row],[1]]))</f>
        <v>0.18782956268195516</v>
      </c>
      <c r="D5">
        <f>(T_All_K1_N10_P30[[#This Row],[3]]-T_All_K1_N10_P30[[#This Row],[2]])/(ABS(T_All_K1_N10_P30[[#This Row],[2]]))</f>
        <v>1.5229843948293995E-2</v>
      </c>
      <c r="E5">
        <f>(T_All_K1_N10_P30[[#This Row],[4]]-T_All_K1_N10_P30[[#This Row],[3]])/(ABS(T_All_K1_N10_P30[[#This Row],[3]]))</f>
        <v>0.5775346697231577</v>
      </c>
      <c r="F5">
        <f>(T_All_K1_N10_P30[[#This Row],[5]]-T_All_K1_N10_P30[[#This Row],[4]])/(ABS(T_All_K1_N10_P30[[#This Row],[4]]))</f>
        <v>-0.33368344764877528</v>
      </c>
      <c r="G5">
        <f>(T_All_K1_N10_P30[[#This Row],[6]]-T_All_K1_N10_P30[[#This Row],[5]])/(ABS(T_All_K1_N10_P30[[#This Row],[5]]))</f>
        <v>0.27410025754675604</v>
      </c>
      <c r="H5">
        <f>(T_All_K1_N10_P30[[#This Row],[7]]-T_All_K1_N10_P30[[#This Row],[6]])/(ABS(T_All_K1_N10_P30[[#This Row],[6]]))</f>
        <v>-0.29192106804355672</v>
      </c>
      <c r="I5">
        <f>(T_All_K1_N10_P30[[#This Row],[8]]-T_All_K1_N10_P30[[#This Row],[7]])/(ABS(T_All_K1_N10_P30[[#This Row],[7]]))</f>
        <v>0.29415533264222304</v>
      </c>
      <c r="K5">
        <f t="shared" si="0"/>
        <v>0.10738699159687826</v>
      </c>
      <c r="L5">
        <f>(T_All_K1_N10_P30[[#This Row],[8]]-T_All_K1_N10_P30[[#This Row],[0]])/ABS(T_All_K1_N10_P30[[#This Row],[0]])</f>
        <v>0.68101265899674235</v>
      </c>
    </row>
    <row r="6" spans="1:12" x14ac:dyDescent="0.25">
      <c r="A6" t="str">
        <f>T_All_K1_N10_P30[[#This Row],[Identifier]]</f>
        <v>a4cd02eb48979601026998efdd2ef8372c889be16d88f3775be7ce91cdd32b0c</v>
      </c>
      <c r="B6">
        <f>(T_All_K1_N10_P30[[#This Row],[1]]-T_All_K1_N10_P30[[#This Row],[0]])/(ABS(T_All_K1_N10_P30[[#This Row],[0]]))</f>
        <v>-0.23204610517190696</v>
      </c>
      <c r="C6">
        <f>(T_All_K1_N10_P30[[#This Row],[2]]-T_All_K1_N10_P30[[#This Row],[1]])/(ABS(T_All_K1_N10_P30[[#This Row],[1]]))</f>
        <v>0.21967615690120426</v>
      </c>
      <c r="D6">
        <f>(T_All_K1_N10_P30[[#This Row],[3]]-T_All_K1_N10_P30[[#This Row],[2]])/(ABS(T_All_K1_N10_P30[[#This Row],[2]]))</f>
        <v>0.23796691356093838</v>
      </c>
      <c r="E6">
        <f>(T_All_K1_N10_P30[[#This Row],[4]]-T_All_K1_N10_P30[[#This Row],[3]])/(ABS(T_All_K1_N10_P30[[#This Row],[3]]))</f>
        <v>8.2240013388386532E-2</v>
      </c>
      <c r="F6">
        <f>(T_All_K1_N10_P30[[#This Row],[5]]-T_All_K1_N10_P30[[#This Row],[4]])/(ABS(T_All_K1_N10_P30[[#This Row],[4]]))</f>
        <v>0.43175275121973422</v>
      </c>
      <c r="G6">
        <f>(T_All_K1_N10_P30[[#This Row],[6]]-T_All_K1_N10_P30[[#This Row],[5]])/(ABS(T_All_K1_N10_P30[[#This Row],[5]]))</f>
        <v>-4.8876937613000195E-2</v>
      </c>
      <c r="H6">
        <f>(T_All_K1_N10_P30[[#This Row],[7]]-T_All_K1_N10_P30[[#This Row],[6]])/(ABS(T_All_K1_N10_P30[[#This Row],[6]]))</f>
        <v>-0.28124817569652161</v>
      </c>
      <c r="I6">
        <f>(T_All_K1_N10_P30[[#This Row],[8]]-T_All_K1_N10_P30[[#This Row],[7]])/(ABS(T_All_K1_N10_P30[[#This Row],[7]]))</f>
        <v>-0.36078187297492792</v>
      </c>
      <c r="K6">
        <f t="shared" si="0"/>
        <v>6.0853429517383484E-3</v>
      </c>
      <c r="L6">
        <f>(T_All_K1_N10_P30[[#This Row],[8]]-T_All_K1_N10_P30[[#This Row],[0]])/ABS(T_All_K1_N10_P30[[#This Row],[0]])</f>
        <v>-0.21486364585782269</v>
      </c>
    </row>
    <row r="7" spans="1:12" x14ac:dyDescent="0.25">
      <c r="A7" t="str">
        <f>T_All_K1_N10_P30[[#This Row],[Identifier]]</f>
        <v>ba5f2964b40092a4bbee663a90603e3b1e7342368088a5db208644dd552a717f</v>
      </c>
      <c r="B7">
        <f>(T_All_K1_N10_P30[[#This Row],[1]]-T_All_K1_N10_P30[[#This Row],[0]])/(ABS(T_All_K1_N10_P30[[#This Row],[0]]))</f>
        <v>-0.57143119675407039</v>
      </c>
      <c r="C7">
        <f>(T_All_K1_N10_P30[[#This Row],[2]]-T_All_K1_N10_P30[[#This Row],[1]])/(ABS(T_All_K1_N10_P30[[#This Row],[1]]))</f>
        <v>-0.33967550794619633</v>
      </c>
      <c r="D7">
        <f>(T_All_K1_N10_P30[[#This Row],[3]]-T_All_K1_N10_P30[[#This Row],[2]])/(ABS(T_All_K1_N10_P30[[#This Row],[2]]))</f>
        <v>1.5584988780710307</v>
      </c>
      <c r="E7">
        <f>(T_All_K1_N10_P30[[#This Row],[4]]-T_All_K1_N10_P30[[#This Row],[3]])/(ABS(T_All_K1_N10_P30[[#This Row],[3]]))</f>
        <v>-0.35915325558785544</v>
      </c>
      <c r="F7">
        <f>(T_All_K1_N10_P30[[#This Row],[5]]-T_All_K1_N10_P30[[#This Row],[4]])/(ABS(T_All_K1_N10_P30[[#This Row],[4]]))</f>
        <v>1.0002810685371359</v>
      </c>
      <c r="G7">
        <f>(T_All_K1_N10_P30[[#This Row],[6]]-T_All_K1_N10_P30[[#This Row],[5]])/(ABS(T_All_K1_N10_P30[[#This Row],[5]]))</f>
        <v>6.0806849105450804E-2</v>
      </c>
      <c r="H7">
        <f>(T_All_K1_N10_P30[[#This Row],[7]]-T_All_K1_N10_P30[[#This Row],[6]])/(ABS(T_All_K1_N10_P30[[#This Row],[6]]))</f>
        <v>9.3431484647840221E-2</v>
      </c>
      <c r="I7">
        <f>(T_All_K1_N10_P30[[#This Row],[8]]-T_All_K1_N10_P30[[#This Row],[7]])/(ABS(T_All_K1_N10_P30[[#This Row],[7]]))</f>
        <v>-7.2449526975888245E-2</v>
      </c>
      <c r="K7">
        <f t="shared" si="0"/>
        <v>0.17128859913718089</v>
      </c>
      <c r="L7">
        <f>(T_All_K1_N10_P30[[#This Row],[8]]-T_All_K1_N10_P30[[#This Row],[0]])/ABS(T_All_K1_N10_P30[[#This Row],[0]])</f>
        <v>-1.4407490749858678E-3</v>
      </c>
    </row>
    <row r="8" spans="1:12" x14ac:dyDescent="0.25">
      <c r="A8" t="str">
        <f>T_All_K1_N10_P30[[#This Row],[Identifier]]</f>
        <v>b8a96f55b87396f898166431c001b57e01996adf68e49870ceb5b781dbc79b45</v>
      </c>
      <c r="B8">
        <f>(T_All_K1_N10_P30[[#This Row],[1]]-T_All_K1_N10_P30[[#This Row],[0]])/(ABS(T_All_K1_N10_P30[[#This Row],[0]]))</f>
        <v>-0.45857783385565309</v>
      </c>
      <c r="C8">
        <f>(T_All_K1_N10_P30[[#This Row],[2]]-T_All_K1_N10_P30[[#This Row],[1]])/(ABS(T_All_K1_N10_P30[[#This Row],[1]]))</f>
        <v>0.13801449496460264</v>
      </c>
      <c r="D8">
        <f>(T_All_K1_N10_P30[[#This Row],[3]]-T_All_K1_N10_P30[[#This Row],[2]])/(ABS(T_All_K1_N10_P30[[#This Row],[2]]))</f>
        <v>-1.7962975728228865E-2</v>
      </c>
      <c r="E8">
        <f>(T_All_K1_N10_P30[[#This Row],[4]]-T_All_K1_N10_P30[[#This Row],[3]])/(ABS(T_All_K1_N10_P30[[#This Row],[3]]))</f>
        <v>-0.26947368543474193</v>
      </c>
      <c r="F8">
        <f>(T_All_K1_N10_P30[[#This Row],[5]]-T_All_K1_N10_P30[[#This Row],[4]])/(ABS(T_All_K1_N10_P30[[#This Row],[4]]))</f>
        <v>-0.14731572118585234</v>
      </c>
      <c r="G8">
        <f>(T_All_K1_N10_P30[[#This Row],[6]]-T_All_K1_N10_P30[[#This Row],[5]])/(ABS(T_All_K1_N10_P30[[#This Row],[5]]))</f>
        <v>1.3220402349675782</v>
      </c>
      <c r="H8">
        <f>(T_All_K1_N10_P30[[#This Row],[7]]-T_All_K1_N10_P30[[#This Row],[6]])/(ABS(T_All_K1_N10_P30[[#This Row],[6]]))</f>
        <v>-0.19367526411580568</v>
      </c>
      <c r="I8">
        <f>(T_All_K1_N10_P30[[#This Row],[8]]-T_All_K1_N10_P30[[#This Row],[7]])/(ABS(T_All_K1_N10_P30[[#This Row],[7]]))</f>
        <v>-0.19017215796766038</v>
      </c>
      <c r="K8">
        <f t="shared" si="0"/>
        <v>2.2859636455529801E-2</v>
      </c>
      <c r="L8">
        <f>(T_All_K1_N10_P30[[#This Row],[8]]-T_All_K1_N10_P30[[#This Row],[0]])/ABS(T_All_K1_N10_P30[[#This Row],[0]])</f>
        <v>-0.42851052668252232</v>
      </c>
    </row>
    <row r="9" spans="1:12" x14ac:dyDescent="0.25">
      <c r="A9" t="str">
        <f>T_All_K1_N10_P30[[#This Row],[Identifier]]</f>
        <v>8e2f002622159c9c9a0e37d6caad774a07aeb8deed43f7ce0774f60986f44689</v>
      </c>
      <c r="B9">
        <f>(T_All_K1_N10_P30[[#This Row],[1]]-T_All_K1_N10_P30[[#This Row],[0]])/(ABS(T_All_K1_N10_P30[[#This Row],[0]]))</f>
        <v>1.2743035198496153</v>
      </c>
      <c r="C9">
        <f>(T_All_K1_N10_P30[[#This Row],[2]]-T_All_K1_N10_P30[[#This Row],[1]])/(ABS(T_All_K1_N10_P30[[#This Row],[1]]))</f>
        <v>-0.51003381765451872</v>
      </c>
      <c r="D9">
        <f>(T_All_K1_N10_P30[[#This Row],[3]]-T_All_K1_N10_P30[[#This Row],[2]])/(ABS(T_All_K1_N10_P30[[#This Row],[2]]))</f>
        <v>-0.14447944450533812</v>
      </c>
      <c r="E9">
        <f>(T_All_K1_N10_P30[[#This Row],[4]]-T_All_K1_N10_P30[[#This Row],[3]])/(ABS(T_All_K1_N10_P30[[#This Row],[3]]))</f>
        <v>0.87928966260497732</v>
      </c>
      <c r="F9">
        <f>(T_All_K1_N10_P30[[#This Row],[5]]-T_All_K1_N10_P30[[#This Row],[4]])/(ABS(T_All_K1_N10_P30[[#This Row],[4]]))</f>
        <v>-8.9937579956111291E-2</v>
      </c>
      <c r="G9">
        <f>(T_All_K1_N10_P30[[#This Row],[6]]-T_All_K1_N10_P30[[#This Row],[5]])/(ABS(T_All_K1_N10_P30[[#This Row],[5]]))</f>
        <v>-7.4036405411037259E-2</v>
      </c>
      <c r="H9">
        <f>(T_All_K1_N10_P30[[#This Row],[7]]-T_All_K1_N10_P30[[#This Row],[6]])/(ABS(T_All_K1_N10_P30[[#This Row],[6]]))</f>
        <v>-0.14789526549535612</v>
      </c>
      <c r="I9">
        <f>(T_All_K1_N10_P30[[#This Row],[8]]-T_All_K1_N10_P30[[#This Row],[7]])/(ABS(T_All_K1_N10_P30[[#This Row],[7]]))</f>
        <v>0.23183968629166812</v>
      </c>
      <c r="K9">
        <f t="shared" si="0"/>
        <v>0.17738129446548742</v>
      </c>
      <c r="L9">
        <f>(T_All_K1_N10_P30[[#This Row],[8]]-T_All_K1_N10_P30[[#This Row],[0]])/ABS(T_All_K1_N10_P30[[#This Row],[0]])</f>
        <v>0.58471426126948234</v>
      </c>
    </row>
    <row r="10" spans="1:12" x14ac:dyDescent="0.25">
      <c r="A10" t="str">
        <f>T_All_K1_N10_P30[[#This Row],[Identifier]]</f>
        <v>64115882c0e848d41188d8b7c2b7dfdbb5f0f98958b855881b0a1613b5293567</v>
      </c>
      <c r="B10">
        <f>(T_All_K1_N10_P30[[#This Row],[1]]-T_All_K1_N10_P30[[#This Row],[0]])/(ABS(T_All_K1_N10_P30[[#This Row],[0]]))</f>
        <v>-0.16789357283979797</v>
      </c>
      <c r="C10">
        <f>(T_All_K1_N10_P30[[#This Row],[2]]-T_All_K1_N10_P30[[#This Row],[1]])/(ABS(T_All_K1_N10_P30[[#This Row],[1]]))</f>
        <v>1.20499581475266E-3</v>
      </c>
      <c r="D10">
        <f>(T_All_K1_N10_P30[[#This Row],[3]]-T_All_K1_N10_P30[[#This Row],[2]])/(ABS(T_All_K1_N10_P30[[#This Row],[2]]))</f>
        <v>0.78633086177038025</v>
      </c>
      <c r="E10">
        <f>(T_All_K1_N10_P30[[#This Row],[4]]-T_All_K1_N10_P30[[#This Row],[3]])/(ABS(T_All_K1_N10_P30[[#This Row],[3]]))</f>
        <v>-0.76957225117250294</v>
      </c>
      <c r="F10">
        <f>(T_All_K1_N10_P30[[#This Row],[5]]-T_All_K1_N10_P30[[#This Row],[4]])/(ABS(T_All_K1_N10_P30[[#This Row],[4]]))</f>
        <v>5.6738139493341677</v>
      </c>
      <c r="G10">
        <f>(T_All_K1_N10_P30[[#This Row],[6]]-T_All_K1_N10_P30[[#This Row],[5]])/(ABS(T_All_K1_N10_P30[[#This Row],[5]]))</f>
        <v>0.76405654280495039</v>
      </c>
      <c r="H10">
        <f>(T_All_K1_N10_P30[[#This Row],[7]]-T_All_K1_N10_P30[[#This Row],[6]])/(ABS(T_All_K1_N10_P30[[#This Row],[6]]))</f>
        <v>-0.56507827472175431</v>
      </c>
      <c r="I10">
        <f>(T_All_K1_N10_P30[[#This Row],[8]]-T_All_K1_N10_P30[[#This Row],[7]])/(ABS(T_All_K1_N10_P30[[#This Row],[7]]))</f>
        <v>0.33299178106027422</v>
      </c>
      <c r="K10">
        <f t="shared" si="0"/>
        <v>0.75698175400630874</v>
      </c>
      <c r="L10">
        <f>(T_All_K1_N10_P30[[#This Row],[8]]-T_All_K1_N10_P30[[#This Row],[0]])/ABS(T_All_K1_N10_P30[[#This Row],[0]])</f>
        <v>1.3405813133854114</v>
      </c>
    </row>
    <row r="11" spans="1:12" x14ac:dyDescent="0.25">
      <c r="A11" t="str">
        <f>T_All_K1_N10_P30[[#This Row],[Identifier]]</f>
        <v>bff27cb1b0fcc45bcb6d59b6acec57d28af63d225641777b4e07970ce88d1622</v>
      </c>
      <c r="B11">
        <f>(T_All_K1_N10_P30[[#This Row],[1]]-T_All_K1_N10_P30[[#This Row],[0]])/(ABS(T_All_K1_N10_P30[[#This Row],[0]]))</f>
        <v>4.1775766766243569E-3</v>
      </c>
      <c r="C11">
        <f>(T_All_K1_N10_P30[[#This Row],[2]]-T_All_K1_N10_P30[[#This Row],[1]])/(ABS(T_All_K1_N10_P30[[#This Row],[1]]))</f>
        <v>-0.40604869107968672</v>
      </c>
      <c r="D11">
        <f>(T_All_K1_N10_P30[[#This Row],[3]]-T_All_K1_N10_P30[[#This Row],[2]])/(ABS(T_All_K1_N10_P30[[#This Row],[2]]))</f>
        <v>0.51878728363628923</v>
      </c>
      <c r="E11">
        <f>(T_All_K1_N10_P30[[#This Row],[4]]-T_All_K1_N10_P30[[#This Row],[3]])/(ABS(T_All_K1_N10_P30[[#This Row],[3]]))</f>
        <v>9.5029046576145096E-2</v>
      </c>
      <c r="F11">
        <f>(T_All_K1_N10_P30[[#This Row],[5]]-T_All_K1_N10_P30[[#This Row],[4]])/(ABS(T_All_K1_N10_P30[[#This Row],[4]]))</f>
        <v>-0.51124321749524682</v>
      </c>
      <c r="G11">
        <f>(T_All_K1_N10_P30[[#This Row],[6]]-T_All_K1_N10_P30[[#This Row],[5]])/(ABS(T_All_K1_N10_P30[[#This Row],[5]]))</f>
        <v>3.7923013766677549</v>
      </c>
      <c r="H11">
        <f>(T_All_K1_N10_P30[[#This Row],[7]]-T_All_K1_N10_P30[[#This Row],[6]])/(ABS(T_All_K1_N10_P30[[#This Row],[6]]))</f>
        <v>-0.34148674252508765</v>
      </c>
      <c r="I11">
        <f>(T_All_K1_N10_P30[[#This Row],[8]]-T_All_K1_N10_P30[[#This Row],[7]])/(ABS(T_All_K1_N10_P30[[#This Row],[7]]))</f>
        <v>-0.50049896276851913</v>
      </c>
      <c r="K11">
        <f>AVERAGE(B11:I11)</f>
        <v>0.33137720871103415</v>
      </c>
      <c r="L11">
        <f>(T_All_K1_N10_P30[[#This Row],[8]]-T_All_K1_N10_P30[[#This Row],[0]])/ABS(T_All_K1_N10_P30[[#This Row],[0]])</f>
        <v>-0.23577403136372357</v>
      </c>
    </row>
    <row r="14" spans="1:12" x14ac:dyDescent="0.25">
      <c r="J14" s="2" t="s">
        <v>25</v>
      </c>
      <c r="K14">
        <f>AVERAGE(K2:K11)</f>
        <v>0.1950313306195432</v>
      </c>
      <c r="L14">
        <f>AVERAGE(L2:L11)</f>
        <v>0.18219048513087061</v>
      </c>
    </row>
    <row r="17" spans="1:12" x14ac:dyDescent="0.25">
      <c r="A17" s="5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21</v>
      </c>
      <c r="G17" s="7" t="s">
        <v>22</v>
      </c>
      <c r="H17" s="7" t="s">
        <v>23</v>
      </c>
      <c r="I17" s="7" t="s">
        <v>24</v>
      </c>
      <c r="J17" s="5"/>
      <c r="K17" s="6" t="s">
        <v>25</v>
      </c>
      <c r="L17" s="6" t="s">
        <v>26</v>
      </c>
    </row>
    <row r="18" spans="1:12" x14ac:dyDescent="0.25">
      <c r="A18" s="5" t="s">
        <v>27</v>
      </c>
      <c r="B18" s="5">
        <f>AVERAGE(B2:B11)</f>
        <v>-0.10158532981753068</v>
      </c>
      <c r="C18" s="5">
        <f t="shared" ref="C18:I18" si="1">AVERAGE(C2:C11)</f>
        <v>0.16136767362804985</v>
      </c>
      <c r="D18" s="5">
        <f t="shared" si="1"/>
        <v>0.28635850412626151</v>
      </c>
      <c r="E18" s="5">
        <f t="shared" si="1"/>
        <v>-1.5610186673401128E-2</v>
      </c>
      <c r="F18" s="5">
        <f t="shared" si="1"/>
        <v>0.82733740230180197</v>
      </c>
      <c r="G18" s="5">
        <f t="shared" si="1"/>
        <v>0.51071526789549915</v>
      </c>
      <c r="H18" s="5">
        <f t="shared" si="1"/>
        <v>-0.14019965878708548</v>
      </c>
      <c r="I18" s="5">
        <f t="shared" si="1"/>
        <v>3.1866972282750594E-2</v>
      </c>
      <c r="J18" s="5"/>
      <c r="K18" s="5">
        <f>AVERAGE(B18:I18)</f>
        <v>0.1950313306195432</v>
      </c>
      <c r="L18" s="5">
        <f>(I18-B18)/(ABS(B18))</f>
        <v>1.3136965971365215</v>
      </c>
    </row>
  </sheetData>
  <conditionalFormatting sqref="A18:XFD18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K26 K27:L1048576 K1:L14 K16:L25 K15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AC00-A9EB-461B-A790-FBB9A7DFFB14}">
  <dimension ref="A1"/>
  <sheetViews>
    <sheetView topLeftCell="D1" zoomScale="145" zoomScaleNormal="145" workbookViewId="0">
      <selection activeCell="G78" sqref="G7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D51C3-8CFE-47D2-A4AC-BD8108A6BE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T-All_K1 N10 P30</vt:lpstr>
      <vt:lpstr>R Squared</vt:lpstr>
      <vt:lpstr>Relative Change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2025-12-02T03:21:50Z</dcterms:created>
  <dcterms:modified xsi:type="dcterms:W3CDTF">2025-12-19T04:03:19Z</dcterms:modified>
</cp:coreProperties>
</file>