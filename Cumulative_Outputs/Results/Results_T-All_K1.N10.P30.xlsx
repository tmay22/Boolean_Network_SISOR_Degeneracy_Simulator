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Boolean_Network_SISOR_Degeneracy_Simulator\Boolean_Network_SISOR_Degeneracy_Simulator\Cumulative_Outputs\Results\"/>
    </mc:Choice>
  </mc:AlternateContent>
  <xr:revisionPtr revIDLastSave="0" documentId="13_ncr:1_{B7299828-5A2F-4548-9DE3-5E04B4CD5B95}" xr6:coauthVersionLast="47" xr6:coauthVersionMax="47" xr10:uidLastSave="{00000000-0000-0000-0000-000000000000}"/>
  <bookViews>
    <workbookView xWindow="-120" yWindow="-120" windowWidth="26580" windowHeight="15840" activeTab="1" xr2:uid="{5CF18307-C3AA-4F8D-B283-B3AED6997DE3}"/>
  </bookViews>
  <sheets>
    <sheet name="T-All_K1 N10 P30" sheetId="6" r:id="rId1"/>
    <sheet name="R Squared" sheetId="1" r:id="rId2"/>
    <sheet name="Relative Change" sheetId="3" r:id="rId3"/>
    <sheet name="Graphs" sheetId="4" r:id="rId4"/>
  </sheets>
  <definedNames>
    <definedName name="ExternalData_1" localSheetId="0" hidden="1">'T-All_K1 N10 P30'!$A$1:$L$7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C3" i="3"/>
  <c r="D3" i="3"/>
  <c r="E3" i="3"/>
  <c r="F3" i="3"/>
  <c r="G3" i="3"/>
  <c r="H3" i="3"/>
  <c r="I3" i="3"/>
  <c r="B4" i="3"/>
  <c r="C4" i="3"/>
  <c r="D4" i="3"/>
  <c r="E4" i="3"/>
  <c r="F4" i="3"/>
  <c r="G4" i="3"/>
  <c r="H4" i="3"/>
  <c r="I4" i="3"/>
  <c r="B5" i="3"/>
  <c r="C5" i="3"/>
  <c r="D5" i="3"/>
  <c r="E5" i="3"/>
  <c r="F5" i="3"/>
  <c r="G5" i="3"/>
  <c r="H5" i="3"/>
  <c r="I5" i="3"/>
  <c r="B6" i="3"/>
  <c r="C6" i="3"/>
  <c r="D6" i="3"/>
  <c r="E6" i="3"/>
  <c r="F6" i="3"/>
  <c r="G6" i="3"/>
  <c r="H6" i="3"/>
  <c r="I6" i="3"/>
  <c r="B7" i="3"/>
  <c r="C7" i="3"/>
  <c r="D7" i="3"/>
  <c r="E7" i="3"/>
  <c r="F7" i="3"/>
  <c r="G7" i="3"/>
  <c r="H7" i="3"/>
  <c r="I7" i="3"/>
  <c r="B8" i="3"/>
  <c r="C8" i="3"/>
  <c r="D8" i="3"/>
  <c r="E8" i="3"/>
  <c r="F8" i="3"/>
  <c r="G8" i="3"/>
  <c r="H8" i="3"/>
  <c r="I8" i="3"/>
  <c r="B9" i="3"/>
  <c r="C9" i="3"/>
  <c r="D9" i="3"/>
  <c r="E9" i="3"/>
  <c r="F9" i="3"/>
  <c r="G9" i="3"/>
  <c r="H9" i="3"/>
  <c r="I9" i="3"/>
  <c r="B10" i="3"/>
  <c r="C10" i="3"/>
  <c r="D10" i="3"/>
  <c r="E10" i="3"/>
  <c r="F10" i="3"/>
  <c r="G10" i="3"/>
  <c r="H10" i="3"/>
  <c r="I10" i="3"/>
  <c r="B11" i="3"/>
  <c r="C11" i="3"/>
  <c r="D11" i="3"/>
  <c r="E11" i="3"/>
  <c r="F11" i="3"/>
  <c r="G11" i="3"/>
  <c r="H11" i="3"/>
  <c r="I11" i="3"/>
  <c r="C2" i="3"/>
  <c r="D2" i="3"/>
  <c r="E2" i="3"/>
  <c r="F2" i="3"/>
  <c r="G2" i="3"/>
  <c r="H2" i="3"/>
  <c r="I2" i="3"/>
  <c r="B2" i="3"/>
  <c r="A3" i="3"/>
  <c r="A4" i="3"/>
  <c r="A5" i="3"/>
  <c r="A6" i="3"/>
  <c r="A7" i="3"/>
  <c r="A8" i="3"/>
  <c r="A9" i="3"/>
  <c r="A10" i="3"/>
  <c r="A11" i="3"/>
  <c r="A2" i="3"/>
  <c r="A3" i="1"/>
  <c r="B3" i="1"/>
  <c r="C3" i="1"/>
  <c r="D3" i="1"/>
  <c r="E3" i="1"/>
  <c r="F3" i="1"/>
  <c r="G3" i="1"/>
  <c r="H3" i="1"/>
  <c r="I3" i="1"/>
  <c r="J3" i="1"/>
  <c r="A4" i="1"/>
  <c r="B4" i="1"/>
  <c r="C4" i="1"/>
  <c r="D4" i="1"/>
  <c r="E4" i="1"/>
  <c r="F4" i="1"/>
  <c r="G4" i="1"/>
  <c r="H4" i="1"/>
  <c r="I4" i="1"/>
  <c r="J4" i="1"/>
  <c r="A5" i="1"/>
  <c r="B5" i="1"/>
  <c r="C5" i="1"/>
  <c r="D5" i="1"/>
  <c r="E5" i="1"/>
  <c r="F5" i="1"/>
  <c r="G5" i="1"/>
  <c r="H5" i="1"/>
  <c r="I5" i="1"/>
  <c r="J5" i="1"/>
  <c r="A6" i="1"/>
  <c r="B6" i="1"/>
  <c r="C6" i="1"/>
  <c r="D6" i="1"/>
  <c r="E6" i="1"/>
  <c r="F6" i="1"/>
  <c r="G6" i="1"/>
  <c r="H6" i="1"/>
  <c r="I6" i="1"/>
  <c r="J6" i="1"/>
  <c r="A7" i="1"/>
  <c r="B7" i="1"/>
  <c r="C7" i="1"/>
  <c r="D7" i="1"/>
  <c r="E7" i="1"/>
  <c r="F7" i="1"/>
  <c r="G7" i="1"/>
  <c r="H7" i="1"/>
  <c r="I7" i="1"/>
  <c r="J7" i="1"/>
  <c r="A8" i="1"/>
  <c r="B8" i="1"/>
  <c r="C8" i="1"/>
  <c r="D8" i="1"/>
  <c r="E8" i="1"/>
  <c r="F8" i="1"/>
  <c r="G8" i="1"/>
  <c r="H8" i="1"/>
  <c r="I8" i="1"/>
  <c r="J8" i="1"/>
  <c r="A9" i="1"/>
  <c r="B9" i="1"/>
  <c r="C9" i="1"/>
  <c r="D9" i="1"/>
  <c r="E9" i="1"/>
  <c r="F9" i="1"/>
  <c r="G9" i="1"/>
  <c r="H9" i="1"/>
  <c r="I9" i="1"/>
  <c r="J9" i="1"/>
  <c r="A10" i="1"/>
  <c r="B10" i="1"/>
  <c r="C10" i="1"/>
  <c r="D10" i="1"/>
  <c r="E10" i="1"/>
  <c r="F10" i="1"/>
  <c r="G10" i="1"/>
  <c r="H10" i="1"/>
  <c r="I10" i="1"/>
  <c r="J10" i="1"/>
  <c r="A11" i="1"/>
  <c r="B11" i="1"/>
  <c r="C11" i="1"/>
  <c r="D11" i="1"/>
  <c r="E11" i="1"/>
  <c r="F11" i="1"/>
  <c r="G11" i="1"/>
  <c r="H11" i="1"/>
  <c r="I11" i="1"/>
  <c r="J11" i="1"/>
  <c r="B2" i="1"/>
  <c r="C2" i="1"/>
  <c r="D2" i="1"/>
  <c r="E2" i="1"/>
  <c r="F2" i="1"/>
  <c r="G2" i="1"/>
  <c r="H2" i="1"/>
  <c r="I2" i="1"/>
  <c r="J2" i="1"/>
  <c r="A2" i="1"/>
  <c r="L3" i="3"/>
  <c r="L4" i="3"/>
  <c r="L5" i="3"/>
  <c r="L6" i="3"/>
  <c r="L7" i="3"/>
  <c r="L8" i="3"/>
  <c r="L9" i="3"/>
  <c r="L10" i="3"/>
  <c r="L11" i="3"/>
  <c r="L2" i="3"/>
  <c r="L14" i="3" l="1"/>
  <c r="C18" i="3"/>
  <c r="D18" i="3"/>
  <c r="E18" i="3"/>
  <c r="F18" i="3"/>
  <c r="G18" i="3"/>
  <c r="H18" i="3"/>
  <c r="I18" i="3"/>
  <c r="B18" i="3"/>
  <c r="B18" i="1"/>
  <c r="C18" i="1"/>
  <c r="D18" i="1"/>
  <c r="E18" i="1"/>
  <c r="F18" i="1"/>
  <c r="G18" i="1"/>
  <c r="H18" i="1"/>
  <c r="I18" i="1"/>
  <c r="J18" i="1"/>
  <c r="L10" i="1" l="1"/>
  <c r="K9" i="3"/>
  <c r="K10" i="3"/>
  <c r="L11" i="1"/>
  <c r="K11" i="3"/>
  <c r="L9" i="1"/>
  <c r="K2" i="3"/>
  <c r="L5" i="1"/>
  <c r="L7" i="1"/>
  <c r="K7" i="3"/>
  <c r="K8" i="3"/>
  <c r="L6" i="1"/>
  <c r="K4" i="3"/>
  <c r="K6" i="3"/>
  <c r="K5" i="3"/>
  <c r="L3" i="1"/>
  <c r="L8" i="1"/>
  <c r="L4" i="1"/>
  <c r="K3" i="3"/>
  <c r="L2" i="1"/>
  <c r="K14" i="3" l="1"/>
  <c r="L14" i="1"/>
  <c r="L18" i="1"/>
  <c r="L18" i="3"/>
  <c r="K1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17A31C-6D91-4AD1-B064-235A9ED383F8}" keepAlive="1" name="Query - T-All_K1 N10 P30" description="Connection to the 'T-All_K1 N10 P30' query in the workbook." type="5" refreshedVersion="8" background="1" saveData="1">
    <dbPr connection="Provider=Microsoft.Mashup.OleDb.1;Data Source=$Workbook$;Location=&quot;T-All_K1 N10 P30&quot;;Extended Properties=&quot;&quot;" command="SELECT * FROM [T-All_K1 N10 P30]"/>
  </connection>
</connections>
</file>

<file path=xl/sharedStrings.xml><?xml version="1.0" encoding="utf-8"?>
<sst xmlns="http://schemas.openxmlformats.org/spreadsheetml/2006/main" count="46" uniqueCount="35">
  <si>
    <t>Identifier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</si>
  <si>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</si>
  <si>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</si>
  <si>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</si>
  <si>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</si>
  <si>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</si>
  <si>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</si>
  <si>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</si>
  <si>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</si>
  <si>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</si>
  <si>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</si>
  <si>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</si>
  <si>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R Squared</t>
  </si>
  <si>
    <t>Ave RSQ</t>
  </si>
  <si>
    <t>RSQ of Ave</t>
  </si>
  <si>
    <t>T Averages</t>
  </si>
  <si>
    <t>ID</t>
  </si>
  <si>
    <t>0-1</t>
  </si>
  <si>
    <t>1-2</t>
  </si>
  <si>
    <t>2-3</t>
  </si>
  <si>
    <t>3-4</t>
  </si>
  <si>
    <t>4-5</t>
  </si>
  <si>
    <t>5-6</t>
  </si>
  <si>
    <t>6-7</t>
  </si>
  <si>
    <t>7-8</t>
  </si>
  <si>
    <t>Average</t>
  </si>
  <si>
    <t>Max-Min</t>
  </si>
  <si>
    <t>Average per Timestep</t>
  </si>
  <si>
    <t>Average per ID</t>
  </si>
  <si>
    <t>ed39dc41af8ce5094c42eb7a1315df1cfce6f13daaf31c8a98d88b735c0ed544</t>
  </si>
  <si>
    <t>c94578c35e71e0a2c7c32756d38e14820af87f7e489572d75feffd00964202dc</t>
  </si>
  <si>
    <t>ecc1974debcca40a975594d41197df10f396c4995fe1ad0f6d686174885b918a</t>
  </si>
  <si>
    <t>4feb3e7374eac718b0a2b5f65c50d23f6564b946686fbe148a0155cc2fc9e51a</t>
  </si>
  <si>
    <t>a4cd02eb48979601026998efdd2ef8372c889be16d88f3775be7ce91cdd32b0c</t>
  </si>
  <si>
    <t>ba5f2964b40092a4bbee663a90603e3b1e7342368088a5db208644dd552a717f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</si>
</sst>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0" fontId="1" fillId="0" borderId="0" xfId="0" applyFont="1"/>
    <xf numFmtId="2" fontId="0" fillId="0" borderId="0" xfId="0" applyNumberFormat="1"/>
    <xf numFmtId="0" fontId="1" fillId="0" borderId="0" xfId="0" quotePrefix="1" applyFont="1"/>
    <xf numFmtId="0" fontId="2" fillId="0" borderId="0" xfId="0" applyFont="1"/>
    <xf numFmtId="0" fontId="3" fillId="0" borderId="0" xfId="0" applyFont="1"/>
    <xf numFmtId="0" fontId="3" fillId="0" borderId="0" xfId="0" quotePrefix="1" applyFon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CC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5F2A44D-D6B5-4B40-937F-7B45598B09B2}" autoFormatId="16" applyNumberFormats="0" applyBorderFormats="0" applyFontFormats="0" applyPatternFormats="0" applyAlignmentFormats="0" applyWidthHeightFormats="0">
  <queryTableRefresh nextId="13">
    <queryTableFields count="12">
      <queryTableField id="1" name="Identifier" tableColumnId="1"/>
      <queryTableField id="2" name="0" tableColumnId="2"/>
      <queryTableField id="3" name="1" tableColumnId="3"/>
      <queryTableField id="4" name="2" tableColumnId="4"/>
      <queryTableField id="5" name="3" tableColumnId="5"/>
      <queryTableField id="6" name="4" tableColumnId="6"/>
      <queryTableField id="7" name="5" tableColumnId="7"/>
      <queryTableField id="8" name="6" tableColumnId="8"/>
      <queryTableField id="9" name="7" tableColumnId="9"/>
      <queryTableField id="10" name="8" tableColumnId="10"/>
      <queryTableField id="11" name="9" tableColumnId="11"/>
      <queryTableField id="12" name="10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1561F7-2A49-4CD7-82A8-D0FC3B807FAF}" name="T_All_K1_N10_P30" displayName="T_All_K1_N10_P30" ref="A1:L7" tableType="queryTable" totalsRowShown="0">
  <autoFilter ref="A1:L7" xr:uid="{701561F7-2A49-4CD7-82A8-D0FC3B807FAF}"/>
  <tableColumns count="12">
    <tableColumn id="1" xr3:uid="{61277720-55ED-4E9E-8A19-C0F387D65051}" uniqueName="1" name="Identifier" queryTableFieldId="1" dataDxfId="0"/>
    <tableColumn id="2" xr3:uid="{31E940BD-8D8B-4A42-BB83-8B62ED8CEEF4}" uniqueName="2" name="0" queryTableFieldId="2"/>
    <tableColumn id="3" xr3:uid="{CD15E767-FA89-46E4-B9B2-886B0F8EDEEB}" uniqueName="3" name="1" queryTableFieldId="3"/>
    <tableColumn id="4" xr3:uid="{81766A56-442E-434A-99EE-3E58A400A881}" uniqueName="4" name="2" queryTableFieldId="4"/>
    <tableColumn id="5" xr3:uid="{9C756505-510A-4B9A-B7AF-CFC9FD8F34E1}" uniqueName="5" name="3" queryTableFieldId="5"/>
    <tableColumn id="6" xr3:uid="{27F221B0-1C4C-48A5-BA27-E1B29EE718D0}" uniqueName="6" name="4" queryTableFieldId="6"/>
    <tableColumn id="7" xr3:uid="{16B3F89B-F3D2-4534-8F68-0AB97C0E8CE4}" uniqueName="7" name="5" queryTableFieldId="7"/>
    <tableColumn id="8" xr3:uid="{F41A9B38-6455-489F-8D25-BCFB1D101938}" uniqueName="8" name="6" queryTableFieldId="8"/>
    <tableColumn id="9" xr3:uid="{49B190AD-FD19-451D-9864-66C0A050A1A8}" uniqueName="9" name="7" queryTableFieldId="9"/>
    <tableColumn id="10" xr3:uid="{2EDF33E5-0EDA-42AC-A5BA-32898F0A97CD}" uniqueName="10" name="8" queryTableFieldId="10"/>
    <tableColumn id="11" xr3:uid="{E03FC6BE-E4D5-47C0-BFAE-8F3E8D28F72C}" uniqueName="11" name="9" queryTableFieldId="11"/>
    <tableColumn id="12" xr3:uid="{EA800E24-65FD-4876-A2D2-B633636267CA}" uniqueName="12" name="10" queryTableField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3ABE-D191-4882-9CCC-C952967AC6B9}">
  <dimension ref="A1:L7"/>
  <sheetViews>
    <sheetView workbookViewId="0"/>
  </sheetViews>
  <sheetFormatPr defaultRowHeight="15" x14ac:dyDescent="0.25"/>
  <cols>
    <col min="1" max="1" width="68.140625" bestFit="1" customWidth="1"/>
    <col min="2" max="10" width="12" bestFit="1" customWidth="1"/>
    <col min="11" max="11" width="4.28515625" bestFit="1" customWidth="1"/>
    <col min="12" max="12" width="5.28515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8" t="s">
        <v>29</v>
      </c>
      <c r="B2">
        <v>4.4589591277359819</v>
      </c>
      <c r="C2">
        <v>2.581504169481402</v>
      </c>
      <c r="D2">
        <v>5.2834611989705706</v>
      </c>
      <c r="E2">
        <v>3.0939457282116338</v>
      </c>
      <c r="F2">
        <v>3.7441648011497746</v>
      </c>
      <c r="G2">
        <v>9.4900056240586999</v>
      </c>
      <c r="H2">
        <v>3.9560090746969832</v>
      </c>
      <c r="I2">
        <v>3.3155489816334049</v>
      </c>
      <c r="J2">
        <v>4.643221186148403</v>
      </c>
    </row>
    <row r="3" spans="1:12" x14ac:dyDescent="0.25">
      <c r="A3" s="8" t="s">
        <v>30</v>
      </c>
      <c r="B3">
        <v>8.2895263622615403</v>
      </c>
      <c r="C3">
        <v>5.1748453793421314</v>
      </c>
      <c r="D3">
        <v>3.6652842291351231</v>
      </c>
      <c r="E3">
        <v>4.3756701611555062</v>
      </c>
      <c r="F3">
        <v>3.4906648163618832</v>
      </c>
      <c r="G3">
        <v>5.4293864713171835</v>
      </c>
      <c r="H3">
        <v>2.6583521458485295</v>
      </c>
      <c r="I3">
        <v>4.1214564981426962</v>
      </c>
      <c r="J3">
        <v>5.6019166147164992</v>
      </c>
    </row>
    <row r="4" spans="1:12" x14ac:dyDescent="0.25">
      <c r="A4" s="8" t="s">
        <v>31</v>
      </c>
      <c r="B4">
        <v>4.5445587801665344</v>
      </c>
      <c r="C4">
        <v>3.6199806979597144</v>
      </c>
      <c r="D4">
        <v>9.2952450558035675</v>
      </c>
      <c r="E4">
        <v>10.501844936827556</v>
      </c>
      <c r="F4">
        <v>6.3021714488799727</v>
      </c>
      <c r="G4">
        <v>7.3085792289248852</v>
      </c>
      <c r="H4">
        <v>8.114549342833083</v>
      </c>
      <c r="I4">
        <v>7.6065139394097283</v>
      </c>
      <c r="J4">
        <v>6.2673059953712418</v>
      </c>
    </row>
    <row r="5" spans="1:12" x14ac:dyDescent="0.25">
      <c r="A5" s="8" t="s">
        <v>32</v>
      </c>
      <c r="B5">
        <v>5.4981933886360173</v>
      </c>
      <c r="C5">
        <v>6.2451272596569325</v>
      </c>
      <c r="D5">
        <v>7.4181467817314513</v>
      </c>
      <c r="E5">
        <v>7.5311239996027606</v>
      </c>
      <c r="F5">
        <v>11.880609211357488</v>
      </c>
      <c r="G5">
        <v>7.9162465695439241</v>
      </c>
      <c r="H5">
        <v>10.086091793059538</v>
      </c>
      <c r="I5">
        <v>7.1417491044442452</v>
      </c>
      <c r="J5">
        <v>9.2425326879093408</v>
      </c>
    </row>
    <row r="6" spans="1:12" x14ac:dyDescent="0.25">
      <c r="A6" s="8" t="s">
        <v>33</v>
      </c>
      <c r="B6">
        <v>6.5686760236056987</v>
      </c>
      <c r="C6">
        <v>5.044440336191907</v>
      </c>
      <c r="D6">
        <v>6.152583602963964</v>
      </c>
      <c r="E6">
        <v>7.6166949333869365</v>
      </c>
      <c r="F6">
        <v>8.243092026683934</v>
      </c>
      <c r="G6">
        <v>11.802069687762177</v>
      </c>
      <c r="H6">
        <v>11.225220663929145</v>
      </c>
      <c r="I6">
        <v>8.0681478304081757</v>
      </c>
      <c r="J6">
        <v>5.1573063447149128</v>
      </c>
    </row>
    <row r="7" spans="1:12" x14ac:dyDescent="0.25">
      <c r="A7" s="8" t="s">
        <v>34</v>
      </c>
      <c r="B7">
        <v>11.858811763503276</v>
      </c>
      <c r="C7">
        <v>5.082316765403351</v>
      </c>
      <c r="D7">
        <v>3.3559782365714983</v>
      </c>
      <c r="E7">
        <v>8.5862665530989748</v>
      </c>
      <c r="F7">
        <v>5.5024809672083643</v>
      </c>
      <c r="G7">
        <v>11.0065085086928</v>
      </c>
      <c r="H7">
        <v>11.675779610758743</v>
      </c>
      <c r="I7">
        <v>12.766665034212915</v>
      </c>
      <c r="J7">
        <v>11.841726191424577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EA63F-D7AF-43CF-B6E6-E01A84121C52}">
  <dimension ref="A1:L18"/>
  <sheetViews>
    <sheetView tabSelected="1" zoomScale="130" zoomScaleNormal="130" workbookViewId="0">
      <selection activeCell="N8" sqref="N8"/>
    </sheetView>
  </sheetViews>
  <sheetFormatPr defaultRowHeight="15" x14ac:dyDescent="0.25"/>
  <cols>
    <col min="1" max="1" width="20.42578125" customWidth="1"/>
  </cols>
  <sheetData>
    <row r="1" spans="1:12" x14ac:dyDescent="0.25">
      <c r="A1" t="s">
        <v>0</v>
      </c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L1" s="2" t="s">
        <v>12</v>
      </c>
    </row>
    <row r="2" spans="1:12" x14ac:dyDescent="0.25">
      <c r="A2" t="str">
        <f>T_All_K1_N10_P30[[#This Row],[Identifier]]</f>
        <v>ed39dc41af8ce5094c42eb7a1315df1cfce6f13daaf31c8a98d88b735c0ed544</v>
      </c>
      <c r="B2">
        <f>T_All_K1_N10_P30[[#This Row],[0]]</f>
        <v>4.4589591277359819</v>
      </c>
      <c r="C2">
        <f>T_All_K1_N10_P30[[#This Row],[1]]</f>
        <v>2.581504169481402</v>
      </c>
      <c r="D2">
        <f>T_All_K1_N10_P30[[#This Row],[2]]</f>
        <v>5.2834611989705706</v>
      </c>
      <c r="E2">
        <f>T_All_K1_N10_P30[[#This Row],[3]]</f>
        <v>3.0939457282116338</v>
      </c>
      <c r="F2">
        <f>T_All_K1_N10_P30[[#This Row],[4]]</f>
        <v>3.7441648011497746</v>
      </c>
      <c r="G2">
        <f>T_All_K1_N10_P30[[#This Row],[5]]</f>
        <v>9.4900056240586999</v>
      </c>
      <c r="H2">
        <f>T_All_K1_N10_P30[[#This Row],[6]]</f>
        <v>3.9560090746969832</v>
      </c>
      <c r="I2">
        <f>T_All_K1_N10_P30[[#This Row],[7]]</f>
        <v>3.3155489816334049</v>
      </c>
      <c r="J2">
        <f>T_All_K1_N10_P30[[#This Row],[8]]</f>
        <v>4.643221186148403</v>
      </c>
      <c r="L2" s="3">
        <f t="shared" ref="L2:L11" si="0">RSQ(B2:J2,$B$1:$J$1)</f>
        <v>2.2226717897215382E-2</v>
      </c>
    </row>
    <row r="3" spans="1:12" x14ac:dyDescent="0.25">
      <c r="A3" t="str">
        <f>T_All_K1_N10_P30[[#This Row],[Identifier]]</f>
        <v>c94578c35e71e0a2c7c32756d38e14820af87f7e489572d75feffd00964202dc</v>
      </c>
      <c r="B3">
        <f>T_All_K1_N10_P30[[#This Row],[0]]</f>
        <v>8.2895263622615403</v>
      </c>
      <c r="C3">
        <f>T_All_K1_N10_P30[[#This Row],[1]]</f>
        <v>5.1748453793421314</v>
      </c>
      <c r="D3">
        <f>T_All_K1_N10_P30[[#This Row],[2]]</f>
        <v>3.6652842291351231</v>
      </c>
      <c r="E3">
        <f>T_All_K1_N10_P30[[#This Row],[3]]</f>
        <v>4.3756701611555062</v>
      </c>
      <c r="F3">
        <f>T_All_K1_N10_P30[[#This Row],[4]]</f>
        <v>3.4906648163618832</v>
      </c>
      <c r="G3">
        <f>T_All_K1_N10_P30[[#This Row],[5]]</f>
        <v>5.4293864713171835</v>
      </c>
      <c r="H3">
        <f>T_All_K1_N10_P30[[#This Row],[6]]</f>
        <v>2.6583521458485295</v>
      </c>
      <c r="I3">
        <f>T_All_K1_N10_P30[[#This Row],[7]]</f>
        <v>4.1214564981426962</v>
      </c>
      <c r="J3">
        <f>T_All_K1_N10_P30[[#This Row],[8]]</f>
        <v>5.6019166147164992</v>
      </c>
      <c r="L3" s="3">
        <f t="shared" si="0"/>
        <v>0.17088201918656024</v>
      </c>
    </row>
    <row r="4" spans="1:12" x14ac:dyDescent="0.25">
      <c r="A4" t="str">
        <f>T_All_K1_N10_P30[[#This Row],[Identifier]]</f>
        <v>ecc1974debcca40a975594d41197df10f396c4995fe1ad0f6d686174885b918a</v>
      </c>
      <c r="B4">
        <f>T_All_K1_N10_P30[[#This Row],[0]]</f>
        <v>4.5445587801665344</v>
      </c>
      <c r="C4">
        <f>T_All_K1_N10_P30[[#This Row],[1]]</f>
        <v>3.6199806979597144</v>
      </c>
      <c r="D4">
        <f>T_All_K1_N10_P30[[#This Row],[2]]</f>
        <v>9.2952450558035675</v>
      </c>
      <c r="E4">
        <f>T_All_K1_N10_P30[[#This Row],[3]]</f>
        <v>10.501844936827556</v>
      </c>
      <c r="F4">
        <f>T_All_K1_N10_P30[[#This Row],[4]]</f>
        <v>6.3021714488799727</v>
      </c>
      <c r="G4">
        <f>T_All_K1_N10_P30[[#This Row],[5]]</f>
        <v>7.3085792289248852</v>
      </c>
      <c r="H4">
        <f>T_All_K1_N10_P30[[#This Row],[6]]</f>
        <v>8.114549342833083</v>
      </c>
      <c r="I4">
        <f>T_All_K1_N10_P30[[#This Row],[7]]</f>
        <v>7.6065139394097283</v>
      </c>
      <c r="J4">
        <f>T_All_K1_N10_P30[[#This Row],[8]]</f>
        <v>6.2673059953712418</v>
      </c>
      <c r="L4" s="3">
        <f t="shared" si="0"/>
        <v>7.8196515699353181E-2</v>
      </c>
    </row>
    <row r="5" spans="1:12" x14ac:dyDescent="0.25">
      <c r="A5" t="str">
        <f>T_All_K1_N10_P30[[#This Row],[Identifier]]</f>
        <v>4feb3e7374eac718b0a2b5f65c50d23f6564b946686fbe148a0155cc2fc9e51a</v>
      </c>
      <c r="B5">
        <f>T_All_K1_N10_P30[[#This Row],[0]]</f>
        <v>5.4981933886360173</v>
      </c>
      <c r="C5">
        <f>T_All_K1_N10_P30[[#This Row],[1]]</f>
        <v>6.2451272596569325</v>
      </c>
      <c r="D5">
        <f>T_All_K1_N10_P30[[#This Row],[2]]</f>
        <v>7.4181467817314513</v>
      </c>
      <c r="E5">
        <f>T_All_K1_N10_P30[[#This Row],[3]]</f>
        <v>7.5311239996027606</v>
      </c>
      <c r="F5">
        <f>T_All_K1_N10_P30[[#This Row],[4]]</f>
        <v>11.880609211357488</v>
      </c>
      <c r="G5">
        <f>T_All_K1_N10_P30[[#This Row],[5]]</f>
        <v>7.9162465695439241</v>
      </c>
      <c r="H5">
        <f>T_All_K1_N10_P30[[#This Row],[6]]</f>
        <v>10.086091793059538</v>
      </c>
      <c r="I5">
        <f>T_All_K1_N10_P30[[#This Row],[7]]</f>
        <v>7.1417491044442452</v>
      </c>
      <c r="J5">
        <f>T_All_K1_N10_P30[[#This Row],[8]]</f>
        <v>9.2425326879093408</v>
      </c>
      <c r="L5" s="3">
        <f t="shared" si="0"/>
        <v>0.28948687463810396</v>
      </c>
    </row>
    <row r="6" spans="1:12" x14ac:dyDescent="0.25">
      <c r="A6" t="str">
        <f>T_All_K1_N10_P30[[#This Row],[Identifier]]</f>
        <v>a4cd02eb48979601026998efdd2ef8372c889be16d88f3775be7ce91cdd32b0c</v>
      </c>
      <c r="B6">
        <f>T_All_K1_N10_P30[[#This Row],[0]]</f>
        <v>6.5686760236056987</v>
      </c>
      <c r="C6">
        <f>T_All_K1_N10_P30[[#This Row],[1]]</f>
        <v>5.044440336191907</v>
      </c>
      <c r="D6">
        <f>T_All_K1_N10_P30[[#This Row],[2]]</f>
        <v>6.152583602963964</v>
      </c>
      <c r="E6">
        <f>T_All_K1_N10_P30[[#This Row],[3]]</f>
        <v>7.6166949333869365</v>
      </c>
      <c r="F6">
        <f>T_All_K1_N10_P30[[#This Row],[4]]</f>
        <v>8.243092026683934</v>
      </c>
      <c r="G6">
        <f>T_All_K1_N10_P30[[#This Row],[5]]</f>
        <v>11.802069687762177</v>
      </c>
      <c r="H6">
        <f>T_All_K1_N10_P30[[#This Row],[6]]</f>
        <v>11.225220663929145</v>
      </c>
      <c r="I6">
        <f>T_All_K1_N10_P30[[#This Row],[7]]</f>
        <v>8.0681478304081757</v>
      </c>
      <c r="J6">
        <f>T_All_K1_N10_P30[[#This Row],[8]]</f>
        <v>5.1573063447149128</v>
      </c>
      <c r="L6" s="3">
        <f t="shared" si="0"/>
        <v>0.11217080282215644</v>
      </c>
    </row>
    <row r="7" spans="1:12" x14ac:dyDescent="0.25">
      <c r="A7" t="str">
        <f>T_All_K1_N10_P30[[#This Row],[Identifier]]</f>
        <v>ba5f2964b40092a4bbee663a90603e3b1e7342368088a5db208644dd552a717f</v>
      </c>
      <c r="B7">
        <f>T_All_K1_N10_P30[[#This Row],[0]]</f>
        <v>11.858811763503276</v>
      </c>
      <c r="C7">
        <f>T_All_K1_N10_P30[[#This Row],[1]]</f>
        <v>5.082316765403351</v>
      </c>
      <c r="D7">
        <f>T_All_K1_N10_P30[[#This Row],[2]]</f>
        <v>3.3559782365714983</v>
      </c>
      <c r="E7">
        <f>T_All_K1_N10_P30[[#This Row],[3]]</f>
        <v>8.5862665530989748</v>
      </c>
      <c r="F7">
        <f>T_All_K1_N10_P30[[#This Row],[4]]</f>
        <v>5.5024809672083643</v>
      </c>
      <c r="G7">
        <f>T_All_K1_N10_P30[[#This Row],[5]]</f>
        <v>11.0065085086928</v>
      </c>
      <c r="H7">
        <f>T_All_K1_N10_P30[[#This Row],[6]]</f>
        <v>11.675779610758743</v>
      </c>
      <c r="I7">
        <f>T_All_K1_N10_P30[[#This Row],[7]]</f>
        <v>12.766665034212915</v>
      </c>
      <c r="J7">
        <f>T_All_K1_N10_P30[[#This Row],[8]]</f>
        <v>11.841726191424577</v>
      </c>
      <c r="L7" s="3">
        <f t="shared" si="0"/>
        <v>0.29119363219777872</v>
      </c>
    </row>
    <row r="8" spans="1:12" x14ac:dyDescent="0.25">
      <c r="A8" t="e">
        <f>T_All_K1_N10_P30[[#This Row],[Identifier]]</f>
        <v>#VALUE!</v>
      </c>
      <c r="B8" t="e">
        <f>T_All_K1_N10_P30[[#This Row],[0]]</f>
        <v>#VALUE!</v>
      </c>
      <c r="C8" t="e">
        <f>T_All_K1_N10_P30[[#This Row],[1]]</f>
        <v>#VALUE!</v>
      </c>
      <c r="D8" t="e">
        <f>T_All_K1_N10_P30[[#This Row],[2]]</f>
        <v>#VALUE!</v>
      </c>
      <c r="E8" t="e">
        <f>T_All_K1_N10_P30[[#This Row],[3]]</f>
        <v>#VALUE!</v>
      </c>
      <c r="F8" t="e">
        <f>T_All_K1_N10_P30[[#This Row],[4]]</f>
        <v>#VALUE!</v>
      </c>
      <c r="G8" t="e">
        <f>T_All_K1_N10_P30[[#This Row],[5]]</f>
        <v>#VALUE!</v>
      </c>
      <c r="H8" t="e">
        <f>T_All_K1_N10_P30[[#This Row],[6]]</f>
        <v>#VALUE!</v>
      </c>
      <c r="I8" t="e">
        <f>T_All_K1_N10_P30[[#This Row],[7]]</f>
        <v>#VALUE!</v>
      </c>
      <c r="J8" t="e">
        <f>T_All_K1_N10_P30[[#This Row],[8]]</f>
        <v>#VALUE!</v>
      </c>
      <c r="L8" s="3" t="e">
        <f t="shared" si="0"/>
        <v>#VALUE!</v>
      </c>
    </row>
    <row r="9" spans="1:12" x14ac:dyDescent="0.25">
      <c r="A9" t="e">
        <f>T_All_K1_N10_P30[[#This Row],[Identifier]]</f>
        <v>#VALUE!</v>
      </c>
      <c r="B9" t="e">
        <f>T_All_K1_N10_P30[[#This Row],[0]]</f>
        <v>#VALUE!</v>
      </c>
      <c r="C9" t="e">
        <f>T_All_K1_N10_P30[[#This Row],[1]]</f>
        <v>#VALUE!</v>
      </c>
      <c r="D9" t="e">
        <f>T_All_K1_N10_P30[[#This Row],[2]]</f>
        <v>#VALUE!</v>
      </c>
      <c r="E9" t="e">
        <f>T_All_K1_N10_P30[[#This Row],[3]]</f>
        <v>#VALUE!</v>
      </c>
      <c r="F9" t="e">
        <f>T_All_K1_N10_P30[[#This Row],[4]]</f>
        <v>#VALUE!</v>
      </c>
      <c r="G9" t="e">
        <f>T_All_K1_N10_P30[[#This Row],[5]]</f>
        <v>#VALUE!</v>
      </c>
      <c r="H9" t="e">
        <f>T_All_K1_N10_P30[[#This Row],[6]]</f>
        <v>#VALUE!</v>
      </c>
      <c r="I9" t="e">
        <f>T_All_K1_N10_P30[[#This Row],[7]]</f>
        <v>#VALUE!</v>
      </c>
      <c r="J9" t="e">
        <f>T_All_K1_N10_P30[[#This Row],[8]]</f>
        <v>#VALUE!</v>
      </c>
      <c r="L9" s="3" t="e">
        <f t="shared" si="0"/>
        <v>#VALUE!</v>
      </c>
    </row>
    <row r="10" spans="1:12" x14ac:dyDescent="0.25">
      <c r="A10" t="e">
        <f>T_All_K1_N10_P30[[#This Row],[Identifier]]</f>
        <v>#VALUE!</v>
      </c>
      <c r="B10" t="e">
        <f>T_All_K1_N10_P30[[#This Row],[0]]</f>
        <v>#VALUE!</v>
      </c>
      <c r="C10" t="e">
        <f>T_All_K1_N10_P30[[#This Row],[1]]</f>
        <v>#VALUE!</v>
      </c>
      <c r="D10" t="e">
        <f>T_All_K1_N10_P30[[#This Row],[2]]</f>
        <v>#VALUE!</v>
      </c>
      <c r="E10" t="e">
        <f>T_All_K1_N10_P30[[#This Row],[3]]</f>
        <v>#VALUE!</v>
      </c>
      <c r="F10" t="e">
        <f>T_All_K1_N10_P30[[#This Row],[4]]</f>
        <v>#VALUE!</v>
      </c>
      <c r="G10" t="e">
        <f>T_All_K1_N10_P30[[#This Row],[5]]</f>
        <v>#VALUE!</v>
      </c>
      <c r="H10" t="e">
        <f>T_All_K1_N10_P30[[#This Row],[6]]</f>
        <v>#VALUE!</v>
      </c>
      <c r="I10" t="e">
        <f>T_All_K1_N10_P30[[#This Row],[7]]</f>
        <v>#VALUE!</v>
      </c>
      <c r="J10" t="e">
        <f>T_All_K1_N10_P30[[#This Row],[8]]</f>
        <v>#VALUE!</v>
      </c>
      <c r="L10" s="3" t="e">
        <f t="shared" si="0"/>
        <v>#VALUE!</v>
      </c>
    </row>
    <row r="11" spans="1:12" x14ac:dyDescent="0.25">
      <c r="A11" t="e">
        <f>T_All_K1_N10_P30[[#This Row],[Identifier]]</f>
        <v>#VALUE!</v>
      </c>
      <c r="B11" t="e">
        <f>T_All_K1_N10_P30[[#This Row],[0]]</f>
        <v>#VALUE!</v>
      </c>
      <c r="C11" t="e">
        <f>T_All_K1_N10_P30[[#This Row],[1]]</f>
        <v>#VALUE!</v>
      </c>
      <c r="D11" t="e">
        <f>T_All_K1_N10_P30[[#This Row],[2]]</f>
        <v>#VALUE!</v>
      </c>
      <c r="E11" t="e">
        <f>T_All_K1_N10_P30[[#This Row],[3]]</f>
        <v>#VALUE!</v>
      </c>
      <c r="F11" t="e">
        <f>T_All_K1_N10_P30[[#This Row],[4]]</f>
        <v>#VALUE!</v>
      </c>
      <c r="G11" t="e">
        <f>T_All_K1_N10_P30[[#This Row],[5]]</f>
        <v>#VALUE!</v>
      </c>
      <c r="H11" t="e">
        <f>T_All_K1_N10_P30[[#This Row],[6]]</f>
        <v>#VALUE!</v>
      </c>
      <c r="I11" t="e">
        <f>T_All_K1_N10_P30[[#This Row],[7]]</f>
        <v>#VALUE!</v>
      </c>
      <c r="J11" t="e">
        <f>T_All_K1_N10_P30[[#This Row],[8]]</f>
        <v>#VALUE!</v>
      </c>
      <c r="L11" s="3" t="e">
        <f t="shared" si="0"/>
        <v>#VALUE!</v>
      </c>
    </row>
    <row r="14" spans="1:12" x14ac:dyDescent="0.25">
      <c r="K14" s="2" t="s">
        <v>13</v>
      </c>
      <c r="L14" s="3" t="e">
        <f>AVERAGE(L2:L11)</f>
        <v>#VALUE!</v>
      </c>
    </row>
    <row r="15" spans="1:12" x14ac:dyDescent="0.25">
      <c r="L15" s="3"/>
    </row>
    <row r="16" spans="1:12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</row>
    <row r="17" spans="1:12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6" t="s">
        <v>14</v>
      </c>
    </row>
    <row r="18" spans="1:12" x14ac:dyDescent="0.25">
      <c r="A18" s="6" t="s">
        <v>15</v>
      </c>
      <c r="B18" s="5" t="e">
        <f>AVERAGE(B2:B11)</f>
        <v>#VALUE!</v>
      </c>
      <c r="C18" s="5" t="e">
        <f t="shared" ref="C18:J18" si="1">AVERAGE(C2:C11)</f>
        <v>#VALUE!</v>
      </c>
      <c r="D18" s="5" t="e">
        <f t="shared" si="1"/>
        <v>#VALUE!</v>
      </c>
      <c r="E18" s="5" t="e">
        <f t="shared" si="1"/>
        <v>#VALUE!</v>
      </c>
      <c r="F18" s="5" t="e">
        <f t="shared" si="1"/>
        <v>#VALUE!</v>
      </c>
      <c r="G18" s="5" t="e">
        <f t="shared" si="1"/>
        <v>#VALUE!</v>
      </c>
      <c r="H18" s="5" t="e">
        <f t="shared" si="1"/>
        <v>#VALUE!</v>
      </c>
      <c r="I18" s="5" t="e">
        <f t="shared" si="1"/>
        <v>#VALUE!</v>
      </c>
      <c r="J18" s="5" t="e">
        <f t="shared" si="1"/>
        <v>#VALUE!</v>
      </c>
      <c r="K18" s="5"/>
      <c r="L18" s="5" t="e">
        <f>RSQ(B1:J1,B18:J18)</f>
        <v>#VALUE!</v>
      </c>
    </row>
  </sheetData>
  <conditionalFormatting sqref="L1:L1048576">
    <cfRule type="containsBlanks" dxfId="8" priority="1">
      <formula>LEN(TRIM(L1))=0</formula>
    </cfRule>
    <cfRule type="cellIs" dxfId="7" priority="2" operator="between">
      <formula>0</formula>
      <formula>0.1</formula>
    </cfRule>
    <cfRule type="cellIs" dxfId="6" priority="3" operator="greaterThan">
      <formula>0.2</formula>
    </cfRule>
    <cfRule type="cellIs" dxfId="5" priority="4" operator="between">
      <formula>0.1</formula>
      <formula>0.2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13FFE-1256-4A00-AF3F-70013C27B583}">
  <dimension ref="A1:L18"/>
  <sheetViews>
    <sheetView zoomScaleNormal="100" workbookViewId="0">
      <selection activeCell="K7" sqref="K7"/>
    </sheetView>
  </sheetViews>
  <sheetFormatPr defaultRowHeight="15" x14ac:dyDescent="0.25"/>
  <cols>
    <col min="1" max="1" width="67.5703125" bestFit="1" customWidth="1"/>
    <col min="2" max="2" width="9.5703125" bestFit="1" customWidth="1"/>
    <col min="11" max="11" width="17.5703125" customWidth="1"/>
  </cols>
  <sheetData>
    <row r="1" spans="1:12" x14ac:dyDescent="0.25">
      <c r="A1" s="2" t="s">
        <v>16</v>
      </c>
      <c r="B1" s="2" t="s">
        <v>17</v>
      </c>
      <c r="C1" s="4" t="s">
        <v>18</v>
      </c>
      <c r="D1" s="4" t="s">
        <v>19</v>
      </c>
      <c r="E1" s="4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K1" s="2" t="s">
        <v>28</v>
      </c>
      <c r="L1" s="2" t="s">
        <v>26</v>
      </c>
    </row>
    <row r="2" spans="1:12" x14ac:dyDescent="0.25">
      <c r="A2" t="str">
        <f>T_All_K1_N10_P30[[#This Row],[Identifier]]</f>
        <v>ed39dc41af8ce5094c42eb7a1315df1cfce6f13daaf31c8a98d88b735c0ed544</v>
      </c>
      <c r="B2">
        <f>(T_All_K1_N10_P30[[#This Row],[1]]-T_All_K1_N10_P30[[#This Row],[0]])/(ABS(T_All_K1_N10_P30[[#This Row],[0]]))</f>
        <v>-0.42105229145884765</v>
      </c>
      <c r="C2">
        <f>(T_All_K1_N10_P30[[#This Row],[2]]-T_All_K1_N10_P30[[#This Row],[1]])/(ABS(T_All_K1_N10_P30[[#This Row],[1]]))</f>
        <v>1.0466599517567172</v>
      </c>
      <c r="D2">
        <f>(T_All_K1_N10_P30[[#This Row],[3]]-T_All_K1_N10_P30[[#This Row],[2]])/(ABS(T_All_K1_N10_P30[[#This Row],[2]]))</f>
        <v>-0.41440930259609776</v>
      </c>
      <c r="E2">
        <f>(T_All_K1_N10_P30[[#This Row],[4]]-T_All_K1_N10_P30[[#This Row],[3]])/(ABS(T_All_K1_N10_P30[[#This Row],[3]]))</f>
        <v>0.21015852573276428</v>
      </c>
      <c r="F2">
        <f>(T_All_K1_N10_P30[[#This Row],[5]]-T_All_K1_N10_P30[[#This Row],[4]])/(ABS(T_All_K1_N10_P30[[#This Row],[4]]))</f>
        <v>1.5346121573346523</v>
      </c>
      <c r="G2">
        <f>(T_All_K1_N10_P30[[#This Row],[6]]-T_All_K1_N10_P30[[#This Row],[5]])/(ABS(T_All_K1_N10_P30[[#This Row],[5]]))</f>
        <v>-0.58313943832995641</v>
      </c>
      <c r="H2">
        <f>(T_All_K1_N10_P30[[#This Row],[7]]-T_All_K1_N10_P30[[#This Row],[6]])/(ABS(T_All_K1_N10_P30[[#This Row],[6]]))</f>
        <v>-0.16189550654977586</v>
      </c>
      <c r="I2">
        <f>(T_All_K1_N10_P30[[#This Row],[8]]-T_All_K1_N10_P30[[#This Row],[7]])/(ABS(T_All_K1_N10_P30[[#This Row],[7]]))</f>
        <v>0.40043812106824023</v>
      </c>
      <c r="K2">
        <f>AVERAGE(B2:I2)</f>
        <v>0.20142152711971203</v>
      </c>
      <c r="L2" t="e">
        <f>(#REF!-#REF!)/ABS(#REF!)</f>
        <v>#REF!</v>
      </c>
    </row>
    <row r="3" spans="1:12" x14ac:dyDescent="0.25">
      <c r="A3" t="str">
        <f>T_All_K1_N10_P30[[#This Row],[Identifier]]</f>
        <v>c94578c35e71e0a2c7c32756d38e14820af87f7e489572d75feffd00964202dc</v>
      </c>
      <c r="B3">
        <f>(T_All_K1_N10_P30[[#This Row],[1]]-T_All_K1_N10_P30[[#This Row],[0]])/(ABS(T_All_K1_N10_P30[[#This Row],[0]]))</f>
        <v>-0.37573690543999483</v>
      </c>
      <c r="C3">
        <f>(T_All_K1_N10_P30[[#This Row],[2]]-T_All_K1_N10_P30[[#This Row],[1]])/(ABS(T_All_K1_N10_P30[[#This Row],[1]]))</f>
        <v>-0.29171135358616573</v>
      </c>
      <c r="D3">
        <f>(T_All_K1_N10_P30[[#This Row],[3]]-T_All_K1_N10_P30[[#This Row],[2]])/(ABS(T_All_K1_N10_P30[[#This Row],[2]]))</f>
        <v>0.19381469147019165</v>
      </c>
      <c r="E3">
        <f>(T_All_K1_N10_P30[[#This Row],[4]]-T_All_K1_N10_P30[[#This Row],[3]])/(ABS(T_All_K1_N10_P30[[#This Row],[3]]))</f>
        <v>-0.20225595444788166</v>
      </c>
      <c r="F3">
        <f>(T_All_K1_N10_P30[[#This Row],[5]]-T_All_K1_N10_P30[[#This Row],[4]])/(ABS(T_All_K1_N10_P30[[#This Row],[4]]))</f>
        <v>0.55540183803036036</v>
      </c>
      <c r="G3">
        <f>(T_All_K1_N10_P30[[#This Row],[6]]-T_All_K1_N10_P30[[#This Row],[5]])/(ABS(T_All_K1_N10_P30[[#This Row],[5]]))</f>
        <v>-0.51037706380043224</v>
      </c>
      <c r="H3">
        <f>(T_All_K1_N10_P30[[#This Row],[7]]-T_All_K1_N10_P30[[#This Row],[6]])/(ABS(T_All_K1_N10_P30[[#This Row],[6]]))</f>
        <v>0.55038018743267469</v>
      </c>
      <c r="I3">
        <f>(T_All_K1_N10_P30[[#This Row],[8]]-T_All_K1_N10_P30[[#This Row],[7]])/(ABS(T_All_K1_N10_P30[[#This Row],[7]]))</f>
        <v>0.35920799291244765</v>
      </c>
      <c r="K3">
        <f t="shared" ref="K3:K10" si="0">AVERAGE(B3:I3)</f>
        <v>3.4840429071399989E-2</v>
      </c>
      <c r="L3" t="e">
        <f>(#REF!-#REF!)/ABS(#REF!)</f>
        <v>#REF!</v>
      </c>
    </row>
    <row r="4" spans="1:12" x14ac:dyDescent="0.25">
      <c r="A4" t="str">
        <f>T_All_K1_N10_P30[[#This Row],[Identifier]]</f>
        <v>ecc1974debcca40a975594d41197df10f396c4995fe1ad0f6d686174885b918a</v>
      </c>
      <c r="B4">
        <f>(T_All_K1_N10_P30[[#This Row],[1]]-T_All_K1_N10_P30[[#This Row],[0]])/(ABS(T_All_K1_N10_P30[[#This Row],[0]]))</f>
        <v>-0.20344727110624786</v>
      </c>
      <c r="C4">
        <f>(T_All_K1_N10_P30[[#This Row],[2]]-T_All_K1_N10_P30[[#This Row],[1]])/(ABS(T_All_K1_N10_P30[[#This Row],[1]]))</f>
        <v>1.5677609444278342</v>
      </c>
      <c r="D4">
        <f>(T_All_K1_N10_P30[[#This Row],[3]]-T_All_K1_N10_P30[[#This Row],[2]])/(ABS(T_All_K1_N10_P30[[#This Row],[2]]))</f>
        <v>0.1298082916351557</v>
      </c>
      <c r="E4">
        <f>(T_All_K1_N10_P30[[#This Row],[4]]-T_All_K1_N10_P30[[#This Row],[3]])/(ABS(T_All_K1_N10_P30[[#This Row],[3]]))</f>
        <v>-0.39989863811646026</v>
      </c>
      <c r="F4">
        <f>(T_All_K1_N10_P30[[#This Row],[5]]-T_All_K1_N10_P30[[#This Row],[4]])/(ABS(T_All_K1_N10_P30[[#This Row],[4]]))</f>
        <v>0.1596922248479565</v>
      </c>
      <c r="G4">
        <f>(T_All_K1_N10_P30[[#This Row],[6]]-T_All_K1_N10_P30[[#This Row],[5]])/(ABS(T_All_K1_N10_P30[[#This Row],[5]]))</f>
        <v>0.11027726301692682</v>
      </c>
      <c r="H4">
        <f>(T_All_K1_N10_P30[[#This Row],[7]]-T_All_K1_N10_P30[[#This Row],[6]])/(ABS(T_All_K1_N10_P30[[#This Row],[6]]))</f>
        <v>-6.2607962803511788E-2</v>
      </c>
      <c r="I4">
        <f>(T_All_K1_N10_P30[[#This Row],[8]]-T_All_K1_N10_P30[[#This Row],[7]])/(ABS(T_All_K1_N10_P30[[#This Row],[7]]))</f>
        <v>-0.17606067046035154</v>
      </c>
      <c r="K4">
        <f t="shared" si="0"/>
        <v>0.14069052268016272</v>
      </c>
      <c r="L4" t="e">
        <f>(#REF!-#REF!)/ABS(#REF!)</f>
        <v>#REF!</v>
      </c>
    </row>
    <row r="5" spans="1:12" x14ac:dyDescent="0.25">
      <c r="A5" t="str">
        <f>T_All_K1_N10_P30[[#This Row],[Identifier]]</f>
        <v>4feb3e7374eac718b0a2b5f65c50d23f6564b946686fbe148a0155cc2fc9e51a</v>
      </c>
      <c r="B5">
        <f>(T_All_K1_N10_P30[[#This Row],[1]]-T_All_K1_N10_P30[[#This Row],[0]])/(ABS(T_All_K1_N10_P30[[#This Row],[0]]))</f>
        <v>0.13585078192497216</v>
      </c>
      <c r="C5">
        <f>(T_All_K1_N10_P30[[#This Row],[2]]-T_All_K1_N10_P30[[#This Row],[1]])/(ABS(T_All_K1_N10_P30[[#This Row],[1]]))</f>
        <v>0.18782956268195516</v>
      </c>
      <c r="D5">
        <f>(T_All_K1_N10_P30[[#This Row],[3]]-T_All_K1_N10_P30[[#This Row],[2]])/(ABS(T_All_K1_N10_P30[[#This Row],[2]]))</f>
        <v>1.5229843948293995E-2</v>
      </c>
      <c r="E5">
        <f>(T_All_K1_N10_P30[[#This Row],[4]]-T_All_K1_N10_P30[[#This Row],[3]])/(ABS(T_All_K1_N10_P30[[#This Row],[3]]))</f>
        <v>0.5775346697231577</v>
      </c>
      <c r="F5">
        <f>(T_All_K1_N10_P30[[#This Row],[5]]-T_All_K1_N10_P30[[#This Row],[4]])/(ABS(T_All_K1_N10_P30[[#This Row],[4]]))</f>
        <v>-0.33368344764877528</v>
      </c>
      <c r="G5">
        <f>(T_All_K1_N10_P30[[#This Row],[6]]-T_All_K1_N10_P30[[#This Row],[5]])/(ABS(T_All_K1_N10_P30[[#This Row],[5]]))</f>
        <v>0.27410025754675604</v>
      </c>
      <c r="H5">
        <f>(T_All_K1_N10_P30[[#This Row],[7]]-T_All_K1_N10_P30[[#This Row],[6]])/(ABS(T_All_K1_N10_P30[[#This Row],[6]]))</f>
        <v>-0.29192106804355672</v>
      </c>
      <c r="I5">
        <f>(T_All_K1_N10_P30[[#This Row],[8]]-T_All_K1_N10_P30[[#This Row],[7]])/(ABS(T_All_K1_N10_P30[[#This Row],[7]]))</f>
        <v>0.29415533264222304</v>
      </c>
      <c r="K5">
        <f t="shared" si="0"/>
        <v>0.10738699159687826</v>
      </c>
      <c r="L5" t="e">
        <f>(#REF!-#REF!)/ABS(#REF!)</f>
        <v>#REF!</v>
      </c>
    </row>
    <row r="6" spans="1:12" x14ac:dyDescent="0.25">
      <c r="A6" t="str">
        <f>T_All_K1_N10_P30[[#This Row],[Identifier]]</f>
        <v>a4cd02eb48979601026998efdd2ef8372c889be16d88f3775be7ce91cdd32b0c</v>
      </c>
      <c r="B6">
        <f>(T_All_K1_N10_P30[[#This Row],[1]]-T_All_K1_N10_P30[[#This Row],[0]])/(ABS(T_All_K1_N10_P30[[#This Row],[0]]))</f>
        <v>-0.23204610517190696</v>
      </c>
      <c r="C6">
        <f>(T_All_K1_N10_P30[[#This Row],[2]]-T_All_K1_N10_P30[[#This Row],[1]])/(ABS(T_All_K1_N10_P30[[#This Row],[1]]))</f>
        <v>0.21967615690120426</v>
      </c>
      <c r="D6">
        <f>(T_All_K1_N10_P30[[#This Row],[3]]-T_All_K1_N10_P30[[#This Row],[2]])/(ABS(T_All_K1_N10_P30[[#This Row],[2]]))</f>
        <v>0.23796691356093838</v>
      </c>
      <c r="E6">
        <f>(T_All_K1_N10_P30[[#This Row],[4]]-T_All_K1_N10_P30[[#This Row],[3]])/(ABS(T_All_K1_N10_P30[[#This Row],[3]]))</f>
        <v>8.2240013388386532E-2</v>
      </c>
      <c r="F6">
        <f>(T_All_K1_N10_P30[[#This Row],[5]]-T_All_K1_N10_P30[[#This Row],[4]])/(ABS(T_All_K1_N10_P30[[#This Row],[4]]))</f>
        <v>0.43175275121973422</v>
      </c>
      <c r="G6">
        <f>(T_All_K1_N10_P30[[#This Row],[6]]-T_All_K1_N10_P30[[#This Row],[5]])/(ABS(T_All_K1_N10_P30[[#This Row],[5]]))</f>
        <v>-4.8876937613000195E-2</v>
      </c>
      <c r="H6">
        <f>(T_All_K1_N10_P30[[#This Row],[7]]-T_All_K1_N10_P30[[#This Row],[6]])/(ABS(T_All_K1_N10_P30[[#This Row],[6]]))</f>
        <v>-0.28124817569652161</v>
      </c>
      <c r="I6">
        <f>(T_All_K1_N10_P30[[#This Row],[8]]-T_All_K1_N10_P30[[#This Row],[7]])/(ABS(T_All_K1_N10_P30[[#This Row],[7]]))</f>
        <v>-0.36078187297492792</v>
      </c>
      <c r="K6">
        <f t="shared" si="0"/>
        <v>6.0853429517383484E-3</v>
      </c>
      <c r="L6" t="e">
        <f>(#REF!-#REF!)/ABS(#REF!)</f>
        <v>#REF!</v>
      </c>
    </row>
    <row r="7" spans="1:12" x14ac:dyDescent="0.25">
      <c r="A7" t="str">
        <f>T_All_K1_N10_P30[[#This Row],[Identifier]]</f>
        <v>ba5f2964b40092a4bbee663a90603e3b1e7342368088a5db208644dd552a717f</v>
      </c>
      <c r="B7">
        <f>(T_All_K1_N10_P30[[#This Row],[1]]-T_All_K1_N10_P30[[#This Row],[0]])/(ABS(T_All_K1_N10_P30[[#This Row],[0]]))</f>
        <v>-0.57143119675407039</v>
      </c>
      <c r="C7">
        <f>(T_All_K1_N10_P30[[#This Row],[2]]-T_All_K1_N10_P30[[#This Row],[1]])/(ABS(T_All_K1_N10_P30[[#This Row],[1]]))</f>
        <v>-0.33967550794619633</v>
      </c>
      <c r="D7">
        <f>(T_All_K1_N10_P30[[#This Row],[3]]-T_All_K1_N10_P30[[#This Row],[2]])/(ABS(T_All_K1_N10_P30[[#This Row],[2]]))</f>
        <v>1.5584988780710307</v>
      </c>
      <c r="E7">
        <f>(T_All_K1_N10_P30[[#This Row],[4]]-T_All_K1_N10_P30[[#This Row],[3]])/(ABS(T_All_K1_N10_P30[[#This Row],[3]]))</f>
        <v>-0.35915325558785544</v>
      </c>
      <c r="F7">
        <f>(T_All_K1_N10_P30[[#This Row],[5]]-T_All_K1_N10_P30[[#This Row],[4]])/(ABS(T_All_K1_N10_P30[[#This Row],[4]]))</f>
        <v>1.0002810685371359</v>
      </c>
      <c r="G7">
        <f>(T_All_K1_N10_P30[[#This Row],[6]]-T_All_K1_N10_P30[[#This Row],[5]])/(ABS(T_All_K1_N10_P30[[#This Row],[5]]))</f>
        <v>6.0806849105450804E-2</v>
      </c>
      <c r="H7">
        <f>(T_All_K1_N10_P30[[#This Row],[7]]-T_All_K1_N10_P30[[#This Row],[6]])/(ABS(T_All_K1_N10_P30[[#This Row],[6]]))</f>
        <v>9.3431484647840221E-2</v>
      </c>
      <c r="I7">
        <f>(T_All_K1_N10_P30[[#This Row],[8]]-T_All_K1_N10_P30[[#This Row],[7]])/(ABS(T_All_K1_N10_P30[[#This Row],[7]]))</f>
        <v>-7.2449526975888245E-2</v>
      </c>
      <c r="K7">
        <f t="shared" si="0"/>
        <v>0.17128859913718089</v>
      </c>
      <c r="L7" t="e">
        <f>(#REF!-#REF!)/ABS(#REF!)</f>
        <v>#REF!</v>
      </c>
    </row>
    <row r="8" spans="1:12" x14ac:dyDescent="0.25">
      <c r="A8" t="e">
        <f>T_All_K1_N10_P30[[#This Row],[Identifier]]</f>
        <v>#VALUE!</v>
      </c>
      <c r="B8" t="e">
        <f>(T_All_K1_N10_P30[[#This Row],[1]]-T_All_K1_N10_P30[[#This Row],[0]])/(ABS(T_All_K1_N10_P30[[#This Row],[0]]))</f>
        <v>#VALUE!</v>
      </c>
      <c r="C8" t="e">
        <f>(T_All_K1_N10_P30[[#This Row],[2]]-T_All_K1_N10_P30[[#This Row],[1]])/(ABS(T_All_K1_N10_P30[[#This Row],[1]]))</f>
        <v>#VALUE!</v>
      </c>
      <c r="D8" t="e">
        <f>(T_All_K1_N10_P30[[#This Row],[3]]-T_All_K1_N10_P30[[#This Row],[2]])/(ABS(T_All_K1_N10_P30[[#This Row],[2]]))</f>
        <v>#VALUE!</v>
      </c>
      <c r="E8" t="e">
        <f>(T_All_K1_N10_P30[[#This Row],[4]]-T_All_K1_N10_P30[[#This Row],[3]])/(ABS(T_All_K1_N10_P30[[#This Row],[3]]))</f>
        <v>#VALUE!</v>
      </c>
      <c r="F8" t="e">
        <f>(T_All_K1_N10_P30[[#This Row],[5]]-T_All_K1_N10_P30[[#This Row],[4]])/(ABS(T_All_K1_N10_P30[[#This Row],[4]]))</f>
        <v>#VALUE!</v>
      </c>
      <c r="G8" t="e">
        <f>(T_All_K1_N10_P30[[#This Row],[6]]-T_All_K1_N10_P30[[#This Row],[5]])/(ABS(T_All_K1_N10_P30[[#This Row],[5]]))</f>
        <v>#VALUE!</v>
      </c>
      <c r="H8" t="e">
        <f>(T_All_K1_N10_P30[[#This Row],[7]]-T_All_K1_N10_P30[[#This Row],[6]])/(ABS(T_All_K1_N10_P30[[#This Row],[6]]))</f>
        <v>#VALUE!</v>
      </c>
      <c r="I8" t="e">
        <f>(T_All_K1_N10_P30[[#This Row],[8]]-T_All_K1_N10_P30[[#This Row],[7]])/(ABS(T_All_K1_N10_P30[[#This Row],[7]]))</f>
        <v>#VALUE!</v>
      </c>
      <c r="K8" t="e">
        <f t="shared" si="0"/>
        <v>#VALUE!</v>
      </c>
      <c r="L8" t="e">
        <f>(#REF!-#REF!)/ABS(#REF!)</f>
        <v>#REF!</v>
      </c>
    </row>
    <row r="9" spans="1:12" x14ac:dyDescent="0.25">
      <c r="A9" t="e">
        <f>T_All_K1_N10_P30[[#This Row],[Identifier]]</f>
        <v>#VALUE!</v>
      </c>
      <c r="B9" t="e">
        <f>(T_All_K1_N10_P30[[#This Row],[1]]-T_All_K1_N10_P30[[#This Row],[0]])/(ABS(T_All_K1_N10_P30[[#This Row],[0]]))</f>
        <v>#VALUE!</v>
      </c>
      <c r="C9" t="e">
        <f>(T_All_K1_N10_P30[[#This Row],[2]]-T_All_K1_N10_P30[[#This Row],[1]])/(ABS(T_All_K1_N10_P30[[#This Row],[1]]))</f>
        <v>#VALUE!</v>
      </c>
      <c r="D9" t="e">
        <f>(T_All_K1_N10_P30[[#This Row],[3]]-T_All_K1_N10_P30[[#This Row],[2]])/(ABS(T_All_K1_N10_P30[[#This Row],[2]]))</f>
        <v>#VALUE!</v>
      </c>
      <c r="E9" t="e">
        <f>(T_All_K1_N10_P30[[#This Row],[4]]-T_All_K1_N10_P30[[#This Row],[3]])/(ABS(T_All_K1_N10_P30[[#This Row],[3]]))</f>
        <v>#VALUE!</v>
      </c>
      <c r="F9" t="e">
        <f>(T_All_K1_N10_P30[[#This Row],[5]]-T_All_K1_N10_P30[[#This Row],[4]])/(ABS(T_All_K1_N10_P30[[#This Row],[4]]))</f>
        <v>#VALUE!</v>
      </c>
      <c r="G9" t="e">
        <f>(T_All_K1_N10_P30[[#This Row],[6]]-T_All_K1_N10_P30[[#This Row],[5]])/(ABS(T_All_K1_N10_P30[[#This Row],[5]]))</f>
        <v>#VALUE!</v>
      </c>
      <c r="H9" t="e">
        <f>(T_All_K1_N10_P30[[#This Row],[7]]-T_All_K1_N10_P30[[#This Row],[6]])/(ABS(T_All_K1_N10_P30[[#This Row],[6]]))</f>
        <v>#VALUE!</v>
      </c>
      <c r="I9" t="e">
        <f>(T_All_K1_N10_P30[[#This Row],[8]]-T_All_K1_N10_P30[[#This Row],[7]])/(ABS(T_All_K1_N10_P30[[#This Row],[7]]))</f>
        <v>#VALUE!</v>
      </c>
      <c r="K9" t="e">
        <f t="shared" si="0"/>
        <v>#VALUE!</v>
      </c>
      <c r="L9" t="e">
        <f>(#REF!-#REF!)/ABS(#REF!)</f>
        <v>#REF!</v>
      </c>
    </row>
    <row r="10" spans="1:12" x14ac:dyDescent="0.25">
      <c r="A10" t="e">
        <f>T_All_K1_N10_P30[[#This Row],[Identifier]]</f>
        <v>#VALUE!</v>
      </c>
      <c r="B10" t="e">
        <f>(T_All_K1_N10_P30[[#This Row],[1]]-T_All_K1_N10_P30[[#This Row],[0]])/(ABS(T_All_K1_N10_P30[[#This Row],[0]]))</f>
        <v>#VALUE!</v>
      </c>
      <c r="C10" t="e">
        <f>(T_All_K1_N10_P30[[#This Row],[2]]-T_All_K1_N10_P30[[#This Row],[1]])/(ABS(T_All_K1_N10_P30[[#This Row],[1]]))</f>
        <v>#VALUE!</v>
      </c>
      <c r="D10" t="e">
        <f>(T_All_K1_N10_P30[[#This Row],[3]]-T_All_K1_N10_P30[[#This Row],[2]])/(ABS(T_All_K1_N10_P30[[#This Row],[2]]))</f>
        <v>#VALUE!</v>
      </c>
      <c r="E10" t="e">
        <f>(T_All_K1_N10_P30[[#This Row],[4]]-T_All_K1_N10_P30[[#This Row],[3]])/(ABS(T_All_K1_N10_P30[[#This Row],[3]]))</f>
        <v>#VALUE!</v>
      </c>
      <c r="F10" t="e">
        <f>(T_All_K1_N10_P30[[#This Row],[5]]-T_All_K1_N10_P30[[#This Row],[4]])/(ABS(T_All_K1_N10_P30[[#This Row],[4]]))</f>
        <v>#VALUE!</v>
      </c>
      <c r="G10" t="e">
        <f>(T_All_K1_N10_P30[[#This Row],[6]]-T_All_K1_N10_P30[[#This Row],[5]])/(ABS(T_All_K1_N10_P30[[#This Row],[5]]))</f>
        <v>#VALUE!</v>
      </c>
      <c r="H10" t="e">
        <f>(T_All_K1_N10_P30[[#This Row],[7]]-T_All_K1_N10_P30[[#This Row],[6]])/(ABS(T_All_K1_N10_P30[[#This Row],[6]]))</f>
        <v>#VALUE!</v>
      </c>
      <c r="I10" t="e">
        <f>(T_All_K1_N10_P30[[#This Row],[8]]-T_All_K1_N10_P30[[#This Row],[7]])/(ABS(T_All_K1_N10_P30[[#This Row],[7]]))</f>
        <v>#VALUE!</v>
      </c>
      <c r="K10" t="e">
        <f t="shared" si="0"/>
        <v>#VALUE!</v>
      </c>
      <c r="L10" t="e">
        <f>(#REF!-#REF!)/ABS(#REF!)</f>
        <v>#REF!</v>
      </c>
    </row>
    <row r="11" spans="1:12" x14ac:dyDescent="0.25">
      <c r="A11" t="e">
        <f>T_All_K1_N10_P30[[#This Row],[Identifier]]</f>
        <v>#VALUE!</v>
      </c>
      <c r="B11" t="e">
        <f>(T_All_K1_N10_P30[[#This Row],[1]]-T_All_K1_N10_P30[[#This Row],[0]])/(ABS(T_All_K1_N10_P30[[#This Row],[0]]))</f>
        <v>#VALUE!</v>
      </c>
      <c r="C11" t="e">
        <f>(T_All_K1_N10_P30[[#This Row],[2]]-T_All_K1_N10_P30[[#This Row],[1]])/(ABS(T_All_K1_N10_P30[[#This Row],[1]]))</f>
        <v>#VALUE!</v>
      </c>
      <c r="D11" t="e">
        <f>(T_All_K1_N10_P30[[#This Row],[3]]-T_All_K1_N10_P30[[#This Row],[2]])/(ABS(T_All_K1_N10_P30[[#This Row],[2]]))</f>
        <v>#VALUE!</v>
      </c>
      <c r="E11" t="e">
        <f>(T_All_K1_N10_P30[[#This Row],[4]]-T_All_K1_N10_P30[[#This Row],[3]])/(ABS(T_All_K1_N10_P30[[#This Row],[3]]))</f>
        <v>#VALUE!</v>
      </c>
      <c r="F11" t="e">
        <f>(T_All_K1_N10_P30[[#This Row],[5]]-T_All_K1_N10_P30[[#This Row],[4]])/(ABS(T_All_K1_N10_P30[[#This Row],[4]]))</f>
        <v>#VALUE!</v>
      </c>
      <c r="G11" t="e">
        <f>(T_All_K1_N10_P30[[#This Row],[6]]-T_All_K1_N10_P30[[#This Row],[5]])/(ABS(T_All_K1_N10_P30[[#This Row],[5]]))</f>
        <v>#VALUE!</v>
      </c>
      <c r="H11" t="e">
        <f>(T_All_K1_N10_P30[[#This Row],[7]]-T_All_K1_N10_P30[[#This Row],[6]])/(ABS(T_All_K1_N10_P30[[#This Row],[6]]))</f>
        <v>#VALUE!</v>
      </c>
      <c r="I11" t="e">
        <f>(T_All_K1_N10_P30[[#This Row],[8]]-T_All_K1_N10_P30[[#This Row],[7]])/(ABS(T_All_K1_N10_P30[[#This Row],[7]]))</f>
        <v>#VALUE!</v>
      </c>
      <c r="K11" t="e">
        <f>AVERAGE(B11:I11)</f>
        <v>#VALUE!</v>
      </c>
      <c r="L11" t="e">
        <f>(#REF!-#REF!)/ABS(#REF!)</f>
        <v>#REF!</v>
      </c>
    </row>
    <row r="14" spans="1:12" x14ac:dyDescent="0.25">
      <c r="J14" s="2" t="s">
        <v>25</v>
      </c>
      <c r="K14" t="e">
        <f>AVERAGE(K2:K11)</f>
        <v>#VALUE!</v>
      </c>
      <c r="L14" t="e">
        <f>AVERAGE(L2:L11)</f>
        <v>#REF!</v>
      </c>
    </row>
    <row r="17" spans="1:12" x14ac:dyDescent="0.25">
      <c r="A17" s="5"/>
      <c r="B17" s="6" t="s">
        <v>17</v>
      </c>
      <c r="C17" s="7" t="s">
        <v>18</v>
      </c>
      <c r="D17" s="7" t="s">
        <v>19</v>
      </c>
      <c r="E17" s="7" t="s">
        <v>20</v>
      </c>
      <c r="F17" s="7" t="s">
        <v>21</v>
      </c>
      <c r="G17" s="7" t="s">
        <v>22</v>
      </c>
      <c r="H17" s="7" t="s">
        <v>23</v>
      </c>
      <c r="I17" s="7" t="s">
        <v>24</v>
      </c>
      <c r="J17" s="5"/>
      <c r="K17" s="6" t="s">
        <v>25</v>
      </c>
      <c r="L17" s="6" t="s">
        <v>26</v>
      </c>
    </row>
    <row r="18" spans="1:12" x14ac:dyDescent="0.25">
      <c r="A18" s="5" t="s">
        <v>27</v>
      </c>
      <c r="B18" s="5" t="e">
        <f>AVERAGE(B2:B11)</f>
        <v>#VALUE!</v>
      </c>
      <c r="C18" s="5" t="e">
        <f t="shared" ref="C18:I18" si="1">AVERAGE(C2:C11)</f>
        <v>#VALUE!</v>
      </c>
      <c r="D18" s="5" t="e">
        <f t="shared" si="1"/>
        <v>#VALUE!</v>
      </c>
      <c r="E18" s="5" t="e">
        <f t="shared" si="1"/>
        <v>#VALUE!</v>
      </c>
      <c r="F18" s="5" t="e">
        <f t="shared" si="1"/>
        <v>#VALUE!</v>
      </c>
      <c r="G18" s="5" t="e">
        <f t="shared" si="1"/>
        <v>#VALUE!</v>
      </c>
      <c r="H18" s="5" t="e">
        <f t="shared" si="1"/>
        <v>#VALUE!</v>
      </c>
      <c r="I18" s="5" t="e">
        <f t="shared" si="1"/>
        <v>#VALUE!</v>
      </c>
      <c r="J18" s="5"/>
      <c r="K18" s="5" t="e">
        <f>AVERAGE(B18:I18)</f>
        <v>#VALUE!</v>
      </c>
      <c r="L18" s="5" t="e">
        <f>(I18-B18)/(ABS(B18))</f>
        <v>#VALUE!</v>
      </c>
    </row>
  </sheetData>
  <conditionalFormatting sqref="A18:XFD18">
    <cfRule type="cellIs" dxfId="4" priority="1" operator="greaterThan">
      <formula>0</formula>
    </cfRule>
    <cfRule type="cellIs" dxfId="3" priority="2" operator="lessThan">
      <formula>0</formula>
    </cfRule>
  </conditionalFormatting>
  <conditionalFormatting sqref="K1:L25 K26 K27:L1048576">
    <cfRule type="cellIs" dxfId="2" priority="3" operator="lessThan">
      <formula>0</formula>
    </cfRule>
    <cfRule type="cellIs" dxfId="1" priority="4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CAC00-A9EB-461B-A790-FBB9A7DFFB14}">
  <dimension ref="A1"/>
  <sheetViews>
    <sheetView topLeftCell="D1" zoomScale="145" zoomScaleNormal="145" workbookViewId="0">
      <selection activeCell="G78" sqref="G78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4D51C3-8CFE-47D2-A4AC-BD8108A6BE3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T-All_K1 N10 P30</vt:lpstr>
      <vt:lpstr>R Squared</vt:lpstr>
      <vt:lpstr>Relative Change</vt:lpstr>
      <vt:lpstr>Graphs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Theresa Sobb</dc:creator>
  <cp:lastModifiedBy>Theresa Sobb</cp:lastModifiedBy>
  <dcterms:created xsi:type="dcterms:W3CDTF">2025-12-02T03:21:50Z</dcterms:created>
  <dcterms:modified xsi:type="dcterms:W3CDTF">2025-12-16T04:50:10Z</dcterms:modified>
</cp:coreProperties>
</file>