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892D04E4-26A6-47DA-AB34-74AD5ACEB7A9}" xr6:coauthVersionLast="47" xr6:coauthVersionMax="47" xr10:uidLastSave="{00000000-0000-0000-0000-000000000000}"/>
  <bookViews>
    <workbookView xWindow="-120" yWindow="-120" windowWidth="26580" windowHeight="15840" activeTab="1" xr2:uid="{5CF18307-C3AA-4F8D-B283-B3AED6997DE3}"/>
  </bookViews>
  <sheets>
    <sheet name="T-All_K1 N10 P70" sheetId="7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P70'!$A$1:$L$11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B2" i="1"/>
  <c r="C2" i="1"/>
  <c r="D2" i="1"/>
  <c r="E2" i="1"/>
  <c r="F2" i="1"/>
  <c r="G2" i="1"/>
  <c r="H2" i="1"/>
  <c r="I2" i="1"/>
  <c r="J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A3" i="1"/>
  <c r="A4" i="1"/>
  <c r="A5" i="1"/>
  <c r="A6" i="1"/>
  <c r="A7" i="1"/>
  <c r="A8" i="1"/>
  <c r="A9" i="1"/>
  <c r="A10" i="1"/>
  <c r="A11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245A7-28DB-4DD8-94C0-CC8A10098B48}" keepAlive="1" name="Query - T-All_K1 N10 P70" description="Connection to the 'T-All_K1 N10 P70' query in the workbook." type="5" refreshedVersion="8" background="1" saveData="1">
    <dbPr connection="Provider=Microsoft.Mashup.OleDb.1;Data Source=$Workbook$;Location=&quot;T-All_K1 N10 P70&quot;;Extended Properties=&quot;&quot;" command="SELECT * FROM [T-All_K1 N10 P7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<sst xmlns="http://schemas.openxmlformats.org/spreadsheetml/2006/main" count="50" uniqueCount="39">
  <si>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</si>
  <si>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</si>
  <si>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</si>
  <si>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</si>
  <si>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</si>
  <si>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</si>
  <si>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</si>
  <si>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</si>
  <si>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</si>
  <si>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</si>
  <si>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</si>
  <si>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</si>
  <si>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</si>
  <si>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</si>
  <si>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</si>
  <si>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</si>
  <si>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</si>
  <si>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</si>
  <si>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</si>
  <si>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</si>
  <si>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</si>
  <si>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</si>
  <si>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</si>
  <si>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</si>
  <si>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</si>
  <si>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</si>
  <si>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</si>
  <si>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</si>
  <si>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</si>
  <si>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4a714a8520a1dd8243f6528cbce6f5f283dd902700b014b9ec0c936fe91d1bb4</t>
  </si>
  <si>
    <t>33182f68a3f46948d54d2b810f3d8722e04ded392aaecbcf9bd1729c375ef4f6</t>
  </si>
  <si>
    <t>84ae1a06a9e3f8fb81e718337a501e8b20f1b53438a9560c28fad0d93efab98a</t>
  </si>
  <si>
    <t>aa334bc0536b3ecc8982fa5614d408a069aa9a40c74bac7d5d10760669ec4a3e</t>
  </si>
  <si>
    <t>397af47fa05151988668f581136222542b3bd922f76812992821edefe2ef5602</t>
  </si>
  <si>
    <t>bf672a0bbcfadd3db3a9b4d92c460cd419f219ccca63c7cf032642559a1538ae</t>
  </si>
  <si>
    <t>79f31f80c434406c37aa8483cfbd7873501a78718e042ce6cf747b7d29bc233d</t>
  </si>
  <si>
    <t>41fe2abdbd749f47fdccb8c6804e02b71cfd1eae3de99818d5bb8d69495e0d63</t>
  </si>
  <si>
    <t>8895048ddeedb4b129b9ab24b00d81ddaaf65733d9172ad21a9d71741bef4160</t>
  </si>
  <si>
    <t>fa4c980d3a1d383593293dd87ea1139804fb720a62a6f5371c15b8ba99a41071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</si>
</sst>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9B08FA-B0BA-4802-AEEA-A968084A806D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32D2C-3505-4A3A-9C98-521E5C0ADF89}" name="T_All_K1_N10_P70" displayName="T_All_K1_N10_P70" ref="A1:L11" tableType="queryTable" totalsRowShown="0">
  <autoFilter ref="A1:L11" xr:uid="{B1C32D2C-3505-4A3A-9C98-521E5C0ADF89}"/>
  <tableColumns count="12">
    <tableColumn id="1" xr3:uid="{47671763-9E3E-4009-948D-8126A184DC23}" uniqueName="1" name="Identifier" queryTableFieldId="1" dataDxfId="0"/>
    <tableColumn id="2" xr3:uid="{58D06D84-D092-427A-AF85-F6E3C6090AB5}" uniqueName="2" name="0" queryTableFieldId="2"/>
    <tableColumn id="3" xr3:uid="{5A046C86-FE59-4A8D-A8D7-4CAF17695EFC}" uniqueName="3" name="1" queryTableFieldId="3"/>
    <tableColumn id="4" xr3:uid="{571B88E7-1459-4F38-AD6C-9DB21FC23622}" uniqueName="4" name="2" queryTableFieldId="4"/>
    <tableColumn id="5" xr3:uid="{DBC45DCE-5C03-49CB-8363-830379013E36}" uniqueName="5" name="3" queryTableFieldId="5"/>
    <tableColumn id="6" xr3:uid="{CD51B0C4-B2E9-4B16-A3E7-27B3C3D4C6F7}" uniqueName="6" name="4" queryTableFieldId="6"/>
    <tableColumn id="7" xr3:uid="{7D211705-32C4-461D-A4FB-FA8A15A8E614}" uniqueName="7" name="5" queryTableFieldId="7"/>
    <tableColumn id="8" xr3:uid="{3A536C49-8B13-4922-AB24-1AAF98560D90}" uniqueName="8" name="6" queryTableFieldId="8"/>
    <tableColumn id="9" xr3:uid="{18534574-37D0-4503-946A-6A8E49CADD19}" uniqueName="9" name="7" queryTableFieldId="9"/>
    <tableColumn id="10" xr3:uid="{618B77CF-D68B-4F95-B3A2-33575E51490A}" uniqueName="10" name="8" queryTableFieldId="10"/>
    <tableColumn id="11" xr3:uid="{12180B0A-5358-496C-AF28-EFD31AD70259}" uniqueName="11" name="9" queryTableFieldId="11"/>
    <tableColumn id="12" xr3:uid="{508D57E8-DE3E-4591-A673-A153ED96A918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CD4-66AA-4C55-814C-6F7F9B03E803}">
  <dimension ref="A1:L11"/>
  <sheetViews>
    <sheetView workbookViewId="0">
      <selection activeCell="A16" sqref="A16"/>
    </sheetView>
  </sheetViews>
  <sheetFormatPr defaultRowHeight="15" x14ac:dyDescent="0.25"/>
  <cols>
    <col min="1" max="1" width="69" bestFit="1" customWidth="1"/>
    <col min="2" max="9" width="12" bestFit="1" customWidth="1"/>
    <col min="10" max="10" width="12.7109375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3.662289894607949</v>
      </c>
      <c r="C2">
        <v>3.7355971962311156</v>
      </c>
      <c r="D2">
        <v>1.142141150135753</v>
      </c>
      <c r="E2">
        <v>2.5907989143322441</v>
      </c>
      <c r="F2">
        <v>5.5806122208793463</v>
      </c>
      <c r="G2">
        <v>7.9136342667352899</v>
      </c>
      <c r="H2">
        <v>2.7140674869242116</v>
      </c>
      <c r="I2">
        <v>8.8159044278308212</v>
      </c>
      <c r="J2">
        <v>9.4516184423434151</v>
      </c>
    </row>
    <row r="3" spans="1:12" x14ac:dyDescent="0.25">
      <c r="A3" s="8" t="s">
        <v>30</v>
      </c>
      <c r="B3">
        <v>4.5286375439590607</v>
      </c>
      <c r="C3">
        <v>3.8704308131929657</v>
      </c>
      <c r="D3">
        <v>5.469653784863107</v>
      </c>
      <c r="E3">
        <v>4.1670754330672288</v>
      </c>
      <c r="F3">
        <v>5.6451061270290213</v>
      </c>
      <c r="G3">
        <v>6.8562702378616835</v>
      </c>
      <c r="H3">
        <v>4.5186245387884503</v>
      </c>
      <c r="I3">
        <v>3.2401311192667479</v>
      </c>
      <c r="J3">
        <v>2.9524043239734969</v>
      </c>
    </row>
    <row r="4" spans="1:12" x14ac:dyDescent="0.25">
      <c r="A4" s="8" t="s">
        <v>31</v>
      </c>
      <c r="B4">
        <v>1.593839945774973</v>
      </c>
      <c r="C4">
        <v>2.4427440485403782</v>
      </c>
      <c r="D4">
        <v>4.069494670883695</v>
      </c>
      <c r="E4">
        <v>8.2720738456983085</v>
      </c>
      <c r="F4">
        <v>9.9087660229244712</v>
      </c>
      <c r="G4">
        <v>5.3814303747384118</v>
      </c>
      <c r="H4">
        <v>5.4571454270268598</v>
      </c>
      <c r="I4">
        <v>6.1827789034099165</v>
      </c>
      <c r="J4">
        <v>9.9925743088332872</v>
      </c>
    </row>
    <row r="5" spans="1:12" x14ac:dyDescent="0.25">
      <c r="A5" s="8" t="s">
        <v>32</v>
      </c>
      <c r="B5">
        <v>8.545174941515608</v>
      </c>
      <c r="C5">
        <v>7.8133241855980042</v>
      </c>
      <c r="D5">
        <v>15.133806990278854</v>
      </c>
      <c r="E5">
        <v>12.492752288879077</v>
      </c>
      <c r="F5">
        <v>5.0843238422646309</v>
      </c>
      <c r="G5">
        <v>14.313418533798473</v>
      </c>
      <c r="H5">
        <v>10.800916012912332</v>
      </c>
      <c r="I5">
        <v>17.277122417262834</v>
      </c>
      <c r="J5">
        <v>19.748283112754095</v>
      </c>
    </row>
    <row r="6" spans="1:12" x14ac:dyDescent="0.25">
      <c r="A6" s="8" t="s">
        <v>33</v>
      </c>
      <c r="B6">
        <v>4.4495521890803369</v>
      </c>
      <c r="C6">
        <v>4.5897965513320322</v>
      </c>
      <c r="D6">
        <v>11.294422138655179</v>
      </c>
      <c r="E6">
        <v>12.051382459407817</v>
      </c>
      <c r="F6">
        <v>6.9531951677788451</v>
      </c>
      <c r="G6">
        <v>2.982594494347707</v>
      </c>
      <c r="H6">
        <v>5.3746489080788429</v>
      </c>
      <c r="I6">
        <v>9.7118402447609977</v>
      </c>
      <c r="J6">
        <v>6.0864684233911071</v>
      </c>
    </row>
    <row r="7" spans="1:12" x14ac:dyDescent="0.25">
      <c r="A7" s="8" t="s">
        <v>34</v>
      </c>
      <c r="B7">
        <v>3.5360981462709602</v>
      </c>
      <c r="C7">
        <v>5.2846251909308011</v>
      </c>
      <c r="D7">
        <v>14.040398293871942</v>
      </c>
      <c r="E7">
        <v>8.7094611851184656</v>
      </c>
      <c r="F7">
        <v>15.737357297881205</v>
      </c>
      <c r="G7">
        <v>12.887515920887632</v>
      </c>
      <c r="H7">
        <v>13.490971703156177</v>
      </c>
      <c r="I7">
        <v>7.6117729376180492</v>
      </c>
      <c r="J7">
        <v>14.096219701614311</v>
      </c>
    </row>
    <row r="8" spans="1:12" x14ac:dyDescent="0.25">
      <c r="A8" s="8" t="s">
        <v>35</v>
      </c>
      <c r="B8">
        <v>7.5062311588939057</v>
      </c>
      <c r="C8">
        <v>7.7356305121078881</v>
      </c>
      <c r="D8">
        <v>8.6944483473527576</v>
      </c>
      <c r="E8">
        <v>9.3627289374921236</v>
      </c>
      <c r="F8">
        <v>6.3058782189006957</v>
      </c>
      <c r="G8">
        <v>5.3325677380650802</v>
      </c>
      <c r="H8">
        <v>4.472226676917928</v>
      </c>
      <c r="I8">
        <v>9.4852062448426757</v>
      </c>
      <c r="J8">
        <v>5.3449090679583886</v>
      </c>
    </row>
    <row r="9" spans="1:12" x14ac:dyDescent="0.25">
      <c r="A9" s="8" t="s">
        <v>36</v>
      </c>
      <c r="B9">
        <v>1.1297226310188273</v>
      </c>
      <c r="C9">
        <v>3.2017635654006962</v>
      </c>
      <c r="D9">
        <v>4.2476102769428943</v>
      </c>
      <c r="E9">
        <v>1.6829667793327536</v>
      </c>
      <c r="F9">
        <v>3.2788223603001985</v>
      </c>
      <c r="G9">
        <v>3.4838641986370318</v>
      </c>
      <c r="H9">
        <v>6.4156403130081738</v>
      </c>
      <c r="I9">
        <v>7.023704165203827</v>
      </c>
      <c r="J9">
        <v>-2.7293861708291467</v>
      </c>
    </row>
    <row r="10" spans="1:12" x14ac:dyDescent="0.25">
      <c r="A10" s="8" t="s">
        <v>37</v>
      </c>
      <c r="B10">
        <v>9.5003054450439759</v>
      </c>
      <c r="C10">
        <v>3.1219879091894978</v>
      </c>
      <c r="D10">
        <v>3.6419437521616511</v>
      </c>
      <c r="E10">
        <v>3.2789974900856205</v>
      </c>
      <c r="F10">
        <v>7.8187717068698568</v>
      </c>
      <c r="G10">
        <v>5.217147529560739</v>
      </c>
      <c r="H10">
        <v>6.6371254750100981</v>
      </c>
      <c r="I10">
        <v>2.7144073479129349</v>
      </c>
      <c r="J10">
        <v>5.9458623876632597</v>
      </c>
    </row>
    <row r="11" spans="1:12" x14ac:dyDescent="0.25">
      <c r="A11" s="8" t="s">
        <v>38</v>
      </c>
      <c r="B11">
        <v>4.6916638629680083</v>
      </c>
      <c r="C11">
        <v>5.167410917720737</v>
      </c>
      <c r="D11">
        <v>7.1097080465294997</v>
      </c>
      <c r="E11">
        <v>3.7700288374874318</v>
      </c>
      <c r="F11">
        <v>7.3921957756858081</v>
      </c>
      <c r="G11">
        <v>4.3928011251000747</v>
      </c>
      <c r="H11">
        <v>6.1360003086669614</v>
      </c>
      <c r="I11">
        <v>4.4182519124670572</v>
      </c>
      <c r="J11">
        <v>3.4972889149428514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tabSelected="1" zoomScale="130" zoomScaleNormal="130" workbookViewId="0">
      <selection activeCell="B18" sqref="B18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T_All_K1_N10_P70[[#This Row],[Identifier]]</f>
        <v>4a714a8520a1dd8243f6528cbce6f5f283dd902700b014b9ec0c936fe91d1bb4</v>
      </c>
      <c r="B2">
        <f>T_All_K1_N10_P70[[#This Row],[0]]</f>
        <v>3.662289894607949</v>
      </c>
      <c r="C2">
        <f>T_All_K1_N10_P70[[#This Row],[1]]</f>
        <v>3.7355971962311156</v>
      </c>
      <c r="D2">
        <f>T_All_K1_N10_P70[[#This Row],[2]]</f>
        <v>1.142141150135753</v>
      </c>
      <c r="E2">
        <f>T_All_K1_N10_P70[[#This Row],[3]]</f>
        <v>2.5907989143322441</v>
      </c>
      <c r="F2">
        <f>T_All_K1_N10_P70[[#This Row],[4]]</f>
        <v>5.5806122208793463</v>
      </c>
      <c r="G2">
        <f>T_All_K1_N10_P70[[#This Row],[5]]</f>
        <v>7.9136342667352899</v>
      </c>
      <c r="H2">
        <f>T_All_K1_N10_P70[[#This Row],[6]]</f>
        <v>2.7140674869242116</v>
      </c>
      <c r="I2">
        <f>T_All_K1_N10_P70[[#This Row],[7]]</f>
        <v>8.8159044278308212</v>
      </c>
      <c r="J2">
        <f>T_All_K1_N10_P70[[#This Row],[8]]</f>
        <v>9.4516184423434151</v>
      </c>
      <c r="L2" s="3">
        <f t="shared" ref="L2:L11" si="0">RSQ(B2:J2,$B$1:$J$1)</f>
        <v>0.50514867911198691</v>
      </c>
    </row>
    <row r="3" spans="1:12" x14ac:dyDescent="0.25">
      <c r="A3" t="str">
        <f>T_All_K1_N10_P70[[#This Row],[Identifier]]</f>
        <v>33182f68a3f46948d54d2b810f3d8722e04ded392aaecbcf9bd1729c375ef4f6</v>
      </c>
      <c r="B3">
        <f>T_All_K1_N10_P70[[#This Row],[0]]</f>
        <v>4.5286375439590607</v>
      </c>
      <c r="C3">
        <f>T_All_K1_N10_P70[[#This Row],[1]]</f>
        <v>3.8704308131929657</v>
      </c>
      <c r="D3">
        <f>T_All_K1_N10_P70[[#This Row],[2]]</f>
        <v>5.469653784863107</v>
      </c>
      <c r="E3">
        <f>T_All_K1_N10_P70[[#This Row],[3]]</f>
        <v>4.1670754330672288</v>
      </c>
      <c r="F3">
        <f>T_All_K1_N10_P70[[#This Row],[4]]</f>
        <v>5.6451061270290213</v>
      </c>
      <c r="G3">
        <f>T_All_K1_N10_P70[[#This Row],[5]]</f>
        <v>6.8562702378616835</v>
      </c>
      <c r="H3">
        <f>T_All_K1_N10_P70[[#This Row],[6]]</f>
        <v>4.5186245387884503</v>
      </c>
      <c r="I3">
        <f>T_All_K1_N10_P70[[#This Row],[7]]</f>
        <v>3.2401311192667479</v>
      </c>
      <c r="J3">
        <f>T_All_K1_N10_P70[[#This Row],[8]]</f>
        <v>2.9524043239734969</v>
      </c>
      <c r="L3" s="3">
        <f t="shared" si="0"/>
        <v>7.4788686845169608E-2</v>
      </c>
    </row>
    <row r="4" spans="1:12" x14ac:dyDescent="0.25">
      <c r="A4" t="str">
        <f>T_All_K1_N10_P70[[#This Row],[Identifier]]</f>
        <v>84ae1a06a9e3f8fb81e718337a501e8b20f1b53438a9560c28fad0d93efab98a</v>
      </c>
      <c r="B4">
        <f>T_All_K1_N10_P70[[#This Row],[0]]</f>
        <v>1.593839945774973</v>
      </c>
      <c r="C4">
        <f>T_All_K1_N10_P70[[#This Row],[1]]</f>
        <v>2.4427440485403782</v>
      </c>
      <c r="D4">
        <f>T_All_K1_N10_P70[[#This Row],[2]]</f>
        <v>4.069494670883695</v>
      </c>
      <c r="E4">
        <f>T_All_K1_N10_P70[[#This Row],[3]]</f>
        <v>8.2720738456983085</v>
      </c>
      <c r="F4">
        <f>T_All_K1_N10_P70[[#This Row],[4]]</f>
        <v>9.9087660229244712</v>
      </c>
      <c r="G4">
        <f>T_All_K1_N10_P70[[#This Row],[5]]</f>
        <v>5.3814303747384118</v>
      </c>
      <c r="H4">
        <f>T_All_K1_N10_P70[[#This Row],[6]]</f>
        <v>5.4571454270268598</v>
      </c>
      <c r="I4">
        <f>T_All_K1_N10_P70[[#This Row],[7]]</f>
        <v>6.1827789034099165</v>
      </c>
      <c r="J4">
        <f>T_All_K1_N10_P70[[#This Row],[8]]</f>
        <v>9.9925743088332872</v>
      </c>
      <c r="L4" s="3">
        <f t="shared" si="0"/>
        <v>0.45722477021515873</v>
      </c>
    </row>
    <row r="5" spans="1:12" x14ac:dyDescent="0.25">
      <c r="A5" t="str">
        <f>T_All_K1_N10_P70[[#This Row],[Identifier]]</f>
        <v>aa334bc0536b3ecc8982fa5614d408a069aa9a40c74bac7d5d10760669ec4a3e</v>
      </c>
      <c r="B5">
        <f>T_All_K1_N10_P70[[#This Row],[0]]</f>
        <v>8.545174941515608</v>
      </c>
      <c r="C5">
        <f>T_All_K1_N10_P70[[#This Row],[1]]</f>
        <v>7.8133241855980042</v>
      </c>
      <c r="D5">
        <f>T_All_K1_N10_P70[[#This Row],[2]]</f>
        <v>15.133806990278854</v>
      </c>
      <c r="E5">
        <f>T_All_K1_N10_P70[[#This Row],[3]]</f>
        <v>12.492752288879077</v>
      </c>
      <c r="F5">
        <f>T_All_K1_N10_P70[[#This Row],[4]]</f>
        <v>5.0843238422646309</v>
      </c>
      <c r="G5">
        <f>T_All_K1_N10_P70[[#This Row],[5]]</f>
        <v>14.313418533798473</v>
      </c>
      <c r="H5">
        <f>T_All_K1_N10_P70[[#This Row],[6]]</f>
        <v>10.800916012912332</v>
      </c>
      <c r="I5">
        <f>T_All_K1_N10_P70[[#This Row],[7]]</f>
        <v>17.277122417262834</v>
      </c>
      <c r="J5">
        <f>T_All_K1_N10_P70[[#This Row],[8]]</f>
        <v>19.748283112754095</v>
      </c>
      <c r="L5" s="3">
        <f t="shared" si="0"/>
        <v>0.40573790469433363</v>
      </c>
    </row>
    <row r="6" spans="1:12" x14ac:dyDescent="0.25">
      <c r="A6" t="str">
        <f>T_All_K1_N10_P70[[#This Row],[Identifier]]</f>
        <v>397af47fa05151988668f581136222542b3bd922f76812992821edefe2ef5602</v>
      </c>
      <c r="B6">
        <f>T_All_K1_N10_P70[[#This Row],[0]]</f>
        <v>4.4495521890803369</v>
      </c>
      <c r="C6">
        <f>T_All_K1_N10_P70[[#This Row],[1]]</f>
        <v>4.5897965513320322</v>
      </c>
      <c r="D6">
        <f>T_All_K1_N10_P70[[#This Row],[2]]</f>
        <v>11.294422138655179</v>
      </c>
      <c r="E6">
        <f>T_All_K1_N10_P70[[#This Row],[3]]</f>
        <v>12.051382459407817</v>
      </c>
      <c r="F6">
        <f>T_All_K1_N10_P70[[#This Row],[4]]</f>
        <v>6.9531951677788451</v>
      </c>
      <c r="G6">
        <f>T_All_K1_N10_P70[[#This Row],[5]]</f>
        <v>2.982594494347707</v>
      </c>
      <c r="H6">
        <f>T_All_K1_N10_P70[[#This Row],[6]]</f>
        <v>5.3746489080788429</v>
      </c>
      <c r="I6">
        <f>T_All_K1_N10_P70[[#This Row],[7]]</f>
        <v>9.7118402447609977</v>
      </c>
      <c r="J6">
        <f>T_All_K1_N10_P70[[#This Row],[8]]</f>
        <v>6.0864684233911071</v>
      </c>
      <c r="L6" s="3">
        <f t="shared" si="0"/>
        <v>2.0247226211585412E-4</v>
      </c>
    </row>
    <row r="7" spans="1:12" x14ac:dyDescent="0.25">
      <c r="A7" t="str">
        <f>T_All_K1_N10_P70[[#This Row],[Identifier]]</f>
        <v>bf672a0bbcfadd3db3a9b4d92c460cd419f219ccca63c7cf032642559a1538ae</v>
      </c>
      <c r="B7">
        <f>T_All_K1_N10_P70[[#This Row],[0]]</f>
        <v>3.5360981462709602</v>
      </c>
      <c r="C7">
        <f>T_All_K1_N10_P70[[#This Row],[1]]</f>
        <v>5.2846251909308011</v>
      </c>
      <c r="D7">
        <f>T_All_K1_N10_P70[[#This Row],[2]]</f>
        <v>14.040398293871942</v>
      </c>
      <c r="E7">
        <f>T_All_K1_N10_P70[[#This Row],[3]]</f>
        <v>8.7094611851184656</v>
      </c>
      <c r="F7">
        <f>T_All_K1_N10_P70[[#This Row],[4]]</f>
        <v>15.737357297881205</v>
      </c>
      <c r="G7">
        <f>T_All_K1_N10_P70[[#This Row],[5]]</f>
        <v>12.887515920887632</v>
      </c>
      <c r="H7">
        <f>T_All_K1_N10_P70[[#This Row],[6]]</f>
        <v>13.490971703156177</v>
      </c>
      <c r="I7">
        <f>T_All_K1_N10_P70[[#This Row],[7]]</f>
        <v>7.6117729376180492</v>
      </c>
      <c r="J7">
        <f>T_All_K1_N10_P70[[#This Row],[8]]</f>
        <v>14.096219701614311</v>
      </c>
      <c r="L7" s="3">
        <f t="shared" si="0"/>
        <v>0.29470348981939554</v>
      </c>
    </row>
    <row r="8" spans="1:12" x14ac:dyDescent="0.25">
      <c r="A8" t="str">
        <f>T_All_K1_N10_P70[[#This Row],[Identifier]]</f>
        <v>79f31f80c434406c37aa8483cfbd7873501a78718e042ce6cf747b7d29bc233d</v>
      </c>
      <c r="B8">
        <f>T_All_K1_N10_P70[[#This Row],[0]]</f>
        <v>7.5062311588939057</v>
      </c>
      <c r="C8">
        <f>T_All_K1_N10_P70[[#This Row],[1]]</f>
        <v>7.7356305121078881</v>
      </c>
      <c r="D8">
        <f>T_All_K1_N10_P70[[#This Row],[2]]</f>
        <v>8.6944483473527576</v>
      </c>
      <c r="E8">
        <f>T_All_K1_N10_P70[[#This Row],[3]]</f>
        <v>9.3627289374921236</v>
      </c>
      <c r="F8">
        <f>T_All_K1_N10_P70[[#This Row],[4]]</f>
        <v>6.3058782189006957</v>
      </c>
      <c r="G8">
        <f>T_All_K1_N10_P70[[#This Row],[5]]</f>
        <v>5.3325677380650802</v>
      </c>
      <c r="H8">
        <f>T_All_K1_N10_P70[[#This Row],[6]]</f>
        <v>4.472226676917928</v>
      </c>
      <c r="I8">
        <f>T_All_K1_N10_P70[[#This Row],[7]]</f>
        <v>9.4852062448426757</v>
      </c>
      <c r="J8">
        <f>T_All_K1_N10_P70[[#This Row],[8]]</f>
        <v>5.3449090679583886</v>
      </c>
      <c r="L8" s="3">
        <f t="shared" si="0"/>
        <v>0.15184786105335191</v>
      </c>
    </row>
    <row r="9" spans="1:12" x14ac:dyDescent="0.25">
      <c r="A9" t="str">
        <f>T_All_K1_N10_P70[[#This Row],[Identifier]]</f>
        <v>41fe2abdbd749f47fdccb8c6804e02b71cfd1eae3de99818d5bb8d69495e0d63</v>
      </c>
      <c r="B9">
        <f>T_All_K1_N10_P70[[#This Row],[0]]</f>
        <v>1.1297226310188273</v>
      </c>
      <c r="C9">
        <f>T_All_K1_N10_P70[[#This Row],[1]]</f>
        <v>3.2017635654006962</v>
      </c>
      <c r="D9">
        <f>T_All_K1_N10_P70[[#This Row],[2]]</f>
        <v>4.2476102769428943</v>
      </c>
      <c r="E9">
        <f>T_All_K1_N10_P70[[#This Row],[3]]</f>
        <v>1.6829667793327536</v>
      </c>
      <c r="F9">
        <f>T_All_K1_N10_P70[[#This Row],[4]]</f>
        <v>3.2788223603001985</v>
      </c>
      <c r="G9">
        <f>T_All_K1_N10_P70[[#This Row],[5]]</f>
        <v>3.4838641986370318</v>
      </c>
      <c r="H9">
        <f>T_All_K1_N10_P70[[#This Row],[6]]</f>
        <v>6.4156403130081738</v>
      </c>
      <c r="I9">
        <f>T_All_K1_N10_P70[[#This Row],[7]]</f>
        <v>7.023704165203827</v>
      </c>
      <c r="J9">
        <f>T_All_K1_N10_P70[[#This Row],[8]]</f>
        <v>-2.7293861708291467</v>
      </c>
      <c r="L9" s="3">
        <f t="shared" si="0"/>
        <v>1.1542573521485559E-3</v>
      </c>
    </row>
    <row r="10" spans="1:12" x14ac:dyDescent="0.25">
      <c r="A10" t="str">
        <f>T_All_K1_N10_P70[[#This Row],[Identifier]]</f>
        <v>8895048ddeedb4b129b9ab24b00d81ddaaf65733d9172ad21a9d71741bef4160</v>
      </c>
      <c r="B10">
        <f>T_All_K1_N10_P70[[#This Row],[0]]</f>
        <v>9.5003054450439759</v>
      </c>
      <c r="C10">
        <f>T_All_K1_N10_P70[[#This Row],[1]]</f>
        <v>3.1219879091894978</v>
      </c>
      <c r="D10">
        <f>T_All_K1_N10_P70[[#This Row],[2]]</f>
        <v>3.6419437521616511</v>
      </c>
      <c r="E10">
        <f>T_All_K1_N10_P70[[#This Row],[3]]</f>
        <v>3.2789974900856205</v>
      </c>
      <c r="F10">
        <f>T_All_K1_N10_P70[[#This Row],[4]]</f>
        <v>7.8187717068698568</v>
      </c>
      <c r="G10">
        <f>T_All_K1_N10_P70[[#This Row],[5]]</f>
        <v>5.217147529560739</v>
      </c>
      <c r="H10">
        <f>T_All_K1_N10_P70[[#This Row],[6]]</f>
        <v>6.6371254750100981</v>
      </c>
      <c r="I10">
        <f>T_All_K1_N10_P70[[#This Row],[7]]</f>
        <v>2.7144073479129349</v>
      </c>
      <c r="J10">
        <f>T_All_K1_N10_P70[[#This Row],[8]]</f>
        <v>5.9458623876632597</v>
      </c>
      <c r="L10" s="3">
        <f t="shared" si="0"/>
        <v>2.1154926297446204E-2</v>
      </c>
    </row>
    <row r="11" spans="1:12" x14ac:dyDescent="0.25">
      <c r="A11" t="str">
        <f>T_All_K1_N10_P70[[#This Row],[Identifier]]</f>
        <v>fa4c980d3a1d383593293dd87ea1139804fb720a62a6f5371c15b8ba99a41071</v>
      </c>
      <c r="B11">
        <f>T_All_K1_N10_P70[[#This Row],[0]]</f>
        <v>4.6916638629680083</v>
      </c>
      <c r="C11">
        <f>T_All_K1_N10_P70[[#This Row],[1]]</f>
        <v>5.167410917720737</v>
      </c>
      <c r="D11">
        <f>T_All_K1_N10_P70[[#This Row],[2]]</f>
        <v>7.1097080465294997</v>
      </c>
      <c r="E11">
        <f>T_All_K1_N10_P70[[#This Row],[3]]</f>
        <v>3.7700288374874318</v>
      </c>
      <c r="F11">
        <f>T_All_K1_N10_P70[[#This Row],[4]]</f>
        <v>7.3921957756858081</v>
      </c>
      <c r="G11">
        <f>T_All_K1_N10_P70[[#This Row],[5]]</f>
        <v>4.3928011251000747</v>
      </c>
      <c r="H11">
        <f>T_All_K1_N10_P70[[#This Row],[6]]</f>
        <v>6.1360003086669614</v>
      </c>
      <c r="I11">
        <f>T_All_K1_N10_P70[[#This Row],[7]]</f>
        <v>4.4182519124670572</v>
      </c>
      <c r="J11">
        <f>T_All_K1_N10_P70[[#This Row],[8]]</f>
        <v>3.4972889149428514</v>
      </c>
      <c r="L11" s="3">
        <f t="shared" si="0"/>
        <v>7.3589586738889198E-2</v>
      </c>
    </row>
    <row r="14" spans="1:12" x14ac:dyDescent="0.25">
      <c r="K14" s="2" t="s">
        <v>13</v>
      </c>
      <c r="L14" s="3">
        <f>AVERAGE(L2:L11)</f>
        <v>0.1985552634389996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4.9143515759133605</v>
      </c>
      <c r="C18" s="5">
        <f t="shared" ref="C18:J18" si="1">AVERAGE(C2:C11)</f>
        <v>4.6963310890244117</v>
      </c>
      <c r="D18" s="5">
        <f t="shared" si="1"/>
        <v>7.4843627451675347</v>
      </c>
      <c r="E18" s="5">
        <f t="shared" si="1"/>
        <v>6.6378266170901075</v>
      </c>
      <c r="F18" s="5">
        <f t="shared" si="1"/>
        <v>7.3705028740514065</v>
      </c>
      <c r="G18" s="5">
        <f t="shared" si="1"/>
        <v>6.8761244419732126</v>
      </c>
      <c r="H18" s="5">
        <f t="shared" si="1"/>
        <v>6.6017366850490031</v>
      </c>
      <c r="I18" s="5">
        <f t="shared" si="1"/>
        <v>7.6481119720575865</v>
      </c>
      <c r="J18" s="5">
        <f t="shared" si="1"/>
        <v>7.4386242512645069</v>
      </c>
      <c r="K18" s="5"/>
      <c r="L18" s="5">
        <f>RSQ(B1:J1,B18:J18)</f>
        <v>0.5210503527704804</v>
      </c>
    </row>
  </sheetData>
  <conditionalFormatting sqref="L1:L1048576">
    <cfRule type="containsBlanks" dxfId="8" priority="1">
      <formula>LEN(TRIM(L1))=0</formula>
    </cfRule>
    <cfRule type="cellIs" dxfId="7" priority="2" operator="between">
      <formula>0</formula>
      <formula>0.1</formula>
    </cfRule>
    <cfRule type="cellIs" dxfId="6" priority="3" operator="greaterThan">
      <formula>0.2</formula>
    </cfRule>
    <cfRule type="cellIs" dxfId="5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zoomScaleNormal="100" workbookViewId="0">
      <selection activeCell="K26" sqref="K26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T_All_K1_N10_P70[[#This Row],[Identifier]]</f>
        <v>4a714a8520a1dd8243f6528cbce6f5f283dd902700b014b9ec0c936fe91d1bb4</v>
      </c>
      <c r="B2">
        <f>(T_All_K1_N10_P70[[#This Row],[1]]-T_All_K1_N10_P70[[#This Row],[0]])/(ABS(T_All_K1_N10_P70[[#This Row],[0]]))</f>
        <v>2.001679379098259E-2</v>
      </c>
      <c r="C2">
        <f>(T_All_K1_N10_P70[[#This Row],[2]]-T_All_K1_N10_P70[[#This Row],[1]])/(ABS(T_All_K1_N10_P70[[#This Row],[1]]))</f>
        <v>-0.69425473622047063</v>
      </c>
      <c r="D2">
        <f>(T_All_K1_N10_P70[[#This Row],[3]]-T_All_K1_N10_P70[[#This Row],[2]])/(ABS(T_All_K1_N10_P70[[#This Row],[2]]))</f>
        <v>1.2683701695051492</v>
      </c>
      <c r="E2">
        <f>(T_All_K1_N10_P70[[#This Row],[4]]-T_All_K1_N10_P70[[#This Row],[3]])/(ABS(T_All_K1_N10_P70[[#This Row],[3]]))</f>
        <v>1.1540121041457594</v>
      </c>
      <c r="F2">
        <f>(T_All_K1_N10_P70[[#This Row],[5]]-T_All_K1_N10_P70[[#This Row],[4]])/(ABS(T_All_K1_N10_P70[[#This Row],[4]]))</f>
        <v>0.41805844117374019</v>
      </c>
      <c r="G2">
        <f>(T_All_K1_N10_P70[[#This Row],[6]]-T_All_K1_N10_P70[[#This Row],[5]])/(ABS(T_All_K1_N10_P70[[#This Row],[5]]))</f>
        <v>-0.65703905494688986</v>
      </c>
      <c r="H2">
        <f>(T_All_K1_N10_P70[[#This Row],[7]]-T_All_K1_N10_P70[[#This Row],[6]])/(ABS(T_All_K1_N10_P70[[#This Row],[6]]))</f>
        <v>2.2482259451188802</v>
      </c>
      <c r="I2">
        <f>(T_All_K1_N10_P70[[#This Row],[8]]-T_All_K1_N10_P70[[#This Row],[7]])/(ABS(T_All_K1_N10_P70[[#This Row],[7]]))</f>
        <v>7.2109903154770602E-2</v>
      </c>
      <c r="K2">
        <f>AVERAGE(B2:I2)</f>
        <v>0.47868744571524025</v>
      </c>
      <c r="L2">
        <f>(T_All_K1_N10_P70[[#This Row],[8]]-T_All_K1_N10_P70[[#This Row],[0]])/ABS(T_All_K1_N10_P70[[#This Row],[0]])</f>
        <v>1.5807947252507759</v>
      </c>
    </row>
    <row r="3" spans="1:12" x14ac:dyDescent="0.25">
      <c r="A3" t="str">
        <f>T_All_K1_N10_P70[[#This Row],[Identifier]]</f>
        <v>33182f68a3f46948d54d2b810f3d8722e04ded392aaecbcf9bd1729c375ef4f6</v>
      </c>
      <c r="B3">
        <f>(T_All_K1_N10_P70[[#This Row],[1]]-T_All_K1_N10_P70[[#This Row],[0]])/(ABS(T_All_K1_N10_P70[[#This Row],[0]]))</f>
        <v>-0.14534321291490959</v>
      </c>
      <c r="C3">
        <f>(T_All_K1_N10_P70[[#This Row],[2]]-T_All_K1_N10_P70[[#This Row],[1]])/(ABS(T_All_K1_N10_P70[[#This Row],[1]]))</f>
        <v>0.41318991317941689</v>
      </c>
      <c r="D3">
        <f>(T_All_K1_N10_P70[[#This Row],[3]]-T_All_K1_N10_P70[[#This Row],[2]])/(ABS(T_All_K1_N10_P70[[#This Row],[2]]))</f>
        <v>-0.23814639884532998</v>
      </c>
      <c r="E3">
        <f>(T_All_K1_N10_P70[[#This Row],[4]]-T_All_K1_N10_P70[[#This Row],[3]])/(ABS(T_All_K1_N10_P70[[#This Row],[3]]))</f>
        <v>0.35469256981361363</v>
      </c>
      <c r="F3">
        <f>(T_All_K1_N10_P70[[#This Row],[5]]-T_All_K1_N10_P70[[#This Row],[4]])/(ABS(T_All_K1_N10_P70[[#This Row],[4]]))</f>
        <v>0.21455116760933055</v>
      </c>
      <c r="G3">
        <f>(T_All_K1_N10_P70[[#This Row],[6]]-T_All_K1_N10_P70[[#This Row],[5]])/(ABS(T_All_K1_N10_P70[[#This Row],[5]]))</f>
        <v>-0.34095005272171014</v>
      </c>
      <c r="H3">
        <f>(T_All_K1_N10_P70[[#This Row],[7]]-T_All_K1_N10_P70[[#This Row],[6]])/(ABS(T_All_K1_N10_P70[[#This Row],[6]]))</f>
        <v>-0.28293862624498928</v>
      </c>
      <c r="I3">
        <f>(T_All_K1_N10_P70[[#This Row],[8]]-T_All_K1_N10_P70[[#This Row],[7]])/(ABS(T_All_K1_N10_P70[[#This Row],[7]]))</f>
        <v>-8.880097277000458E-2</v>
      </c>
      <c r="K3">
        <f t="shared" ref="K3:K10" si="0">AVERAGE(B3:I3)</f>
        <v>-1.4218201611822806E-2</v>
      </c>
      <c r="L3">
        <f>(T_All_K1_N10_P70[[#This Row],[8]]-T_All_K1_N10_P70[[#This Row],[0]])/ABS(T_All_K1_N10_P70[[#This Row],[0]])</f>
        <v>-0.34805903645085645</v>
      </c>
    </row>
    <row r="4" spans="1:12" x14ac:dyDescent="0.25">
      <c r="A4" t="str">
        <f>T_All_K1_N10_P70[[#This Row],[Identifier]]</f>
        <v>84ae1a06a9e3f8fb81e718337a501e8b20f1b53438a9560c28fad0d93efab98a</v>
      </c>
      <c r="B4">
        <f>(T_All_K1_N10_P70[[#This Row],[1]]-T_All_K1_N10_P70[[#This Row],[0]])/(ABS(T_All_K1_N10_P70[[#This Row],[0]]))</f>
        <v>0.53261565254134879</v>
      </c>
      <c r="C4">
        <f>(T_All_K1_N10_P70[[#This Row],[2]]-T_All_K1_N10_P70[[#This Row],[1]])/(ABS(T_All_K1_N10_P70[[#This Row],[1]]))</f>
        <v>0.6659521382583472</v>
      </c>
      <c r="D4">
        <f>(T_All_K1_N10_P70[[#This Row],[3]]-T_All_K1_N10_P70[[#This Row],[2]])/(ABS(T_All_K1_N10_P70[[#This Row],[2]]))</f>
        <v>1.0327029556969587</v>
      </c>
      <c r="E4">
        <f>(T_All_K1_N10_P70[[#This Row],[4]]-T_All_K1_N10_P70[[#This Row],[3]])/(ABS(T_All_K1_N10_P70[[#This Row],[3]]))</f>
        <v>0.19785753944608278</v>
      </c>
      <c r="F4">
        <f>(T_All_K1_N10_P70[[#This Row],[5]]-T_All_K1_N10_P70[[#This Row],[4]])/(ABS(T_All_K1_N10_P70[[#This Row],[4]]))</f>
        <v>-0.45690206406244949</v>
      </c>
      <c r="G4">
        <f>(T_All_K1_N10_P70[[#This Row],[6]]-T_All_K1_N10_P70[[#This Row],[5]])/(ABS(T_All_K1_N10_P70[[#This Row],[5]]))</f>
        <v>1.4069689100479807E-2</v>
      </c>
      <c r="H4">
        <f>(T_All_K1_N10_P70[[#This Row],[7]]-T_All_K1_N10_P70[[#This Row],[6]])/(ABS(T_All_K1_N10_P70[[#This Row],[6]]))</f>
        <v>0.13296942258296998</v>
      </c>
      <c r="I4">
        <f>(T_All_K1_N10_P70[[#This Row],[8]]-T_All_K1_N10_P70[[#This Row],[7]])/(ABS(T_All_K1_N10_P70[[#This Row],[7]]))</f>
        <v>0.61619466989547345</v>
      </c>
      <c r="K4">
        <f t="shared" si="0"/>
        <v>0.34193250043240148</v>
      </c>
      <c r="L4">
        <f>(T_All_K1_N10_P70[[#This Row],[8]]-T_All_K1_N10_P70[[#This Row],[0]])/ABS(T_All_K1_N10_P70[[#This Row],[0]])</f>
        <v>5.2694967178618404</v>
      </c>
    </row>
    <row r="5" spans="1:12" x14ac:dyDescent="0.25">
      <c r="A5" t="str">
        <f>T_All_K1_N10_P70[[#This Row],[Identifier]]</f>
        <v>aa334bc0536b3ecc8982fa5614d408a069aa9a40c74bac7d5d10760669ec4a3e</v>
      </c>
      <c r="B5">
        <f>(T_All_K1_N10_P70[[#This Row],[1]]-T_All_K1_N10_P70[[#This Row],[0]])/(ABS(T_All_K1_N10_P70[[#This Row],[0]]))</f>
        <v>-8.5644912003147319E-2</v>
      </c>
      <c r="C5">
        <f>(T_All_K1_N10_P70[[#This Row],[2]]-T_All_K1_N10_P70[[#This Row],[1]])/(ABS(T_All_K1_N10_P70[[#This Row],[1]]))</f>
        <v>0.93692295760291255</v>
      </c>
      <c r="D5">
        <f>(T_All_K1_N10_P70[[#This Row],[3]]-T_All_K1_N10_P70[[#This Row],[2]])/(ABS(T_All_K1_N10_P70[[#This Row],[2]]))</f>
        <v>-0.17451357104635004</v>
      </c>
      <c r="E5">
        <f>(T_All_K1_N10_P70[[#This Row],[4]]-T_All_K1_N10_P70[[#This Row],[3]])/(ABS(T_All_K1_N10_P70[[#This Row],[3]]))</f>
        <v>-0.59301811764965151</v>
      </c>
      <c r="F5">
        <f>(T_All_K1_N10_P70[[#This Row],[5]]-T_All_K1_N10_P70[[#This Row],[4]])/(ABS(T_All_K1_N10_P70[[#This Row],[4]]))</f>
        <v>1.8152059109246412</v>
      </c>
      <c r="G5">
        <f>(T_All_K1_N10_P70[[#This Row],[6]]-T_All_K1_N10_P70[[#This Row],[5]])/(ABS(T_All_K1_N10_P70[[#This Row],[5]]))</f>
        <v>-0.24539927429579594</v>
      </c>
      <c r="H5">
        <f>(T_All_K1_N10_P70[[#This Row],[7]]-T_All_K1_N10_P70[[#This Row],[6]])/(ABS(T_All_K1_N10_P70[[#This Row],[6]]))</f>
        <v>0.59959788564305994</v>
      </c>
      <c r="I5">
        <f>(T_All_K1_N10_P70[[#This Row],[8]]-T_All_K1_N10_P70[[#This Row],[7]])/(ABS(T_All_K1_N10_P70[[#This Row],[7]]))</f>
        <v>0.14303080315169517</v>
      </c>
      <c r="K5">
        <f t="shared" si="0"/>
        <v>0.29952271029092054</v>
      </c>
      <c r="L5">
        <f>(T_All_K1_N10_P70[[#This Row],[8]]-T_All_K1_N10_P70[[#This Row],[0]])/ABS(T_All_K1_N10_P70[[#This Row],[0]])</f>
        <v>1.3110449169167573</v>
      </c>
    </row>
    <row r="6" spans="1:12" x14ac:dyDescent="0.25">
      <c r="A6" t="str">
        <f>T_All_K1_N10_P70[[#This Row],[Identifier]]</f>
        <v>397af47fa05151988668f581136222542b3bd922f76812992821edefe2ef5602</v>
      </c>
      <c r="B6">
        <f>(T_All_K1_N10_P70[[#This Row],[1]]-T_All_K1_N10_P70[[#This Row],[0]])/(ABS(T_All_K1_N10_P70[[#This Row],[0]]))</f>
        <v>3.151875880810423E-2</v>
      </c>
      <c r="C6">
        <f>(T_All_K1_N10_P70[[#This Row],[2]]-T_All_K1_N10_P70[[#This Row],[1]])/(ABS(T_All_K1_N10_P70[[#This Row],[1]]))</f>
        <v>1.4607674898743295</v>
      </c>
      <c r="D6">
        <f>(T_All_K1_N10_P70[[#This Row],[3]]-T_All_K1_N10_P70[[#This Row],[2]])/(ABS(T_All_K1_N10_P70[[#This Row],[2]]))</f>
        <v>6.7020721508357667E-2</v>
      </c>
      <c r="E6">
        <f>(T_All_K1_N10_P70[[#This Row],[4]]-T_All_K1_N10_P70[[#This Row],[3]])/(ABS(T_All_K1_N10_P70[[#This Row],[3]]))</f>
        <v>-0.42303754849711139</v>
      </c>
      <c r="F6">
        <f>(T_All_K1_N10_P70[[#This Row],[5]]-T_All_K1_N10_P70[[#This Row],[4]])/(ABS(T_All_K1_N10_P70[[#This Row],[4]]))</f>
        <v>-0.5710469183765946</v>
      </c>
      <c r="G6">
        <f>(T_All_K1_N10_P70[[#This Row],[6]]-T_All_K1_N10_P70[[#This Row],[5]])/(ABS(T_All_K1_N10_P70[[#This Row],[5]]))</f>
        <v>0.80200456960015876</v>
      </c>
      <c r="H6">
        <f>(T_All_K1_N10_P70[[#This Row],[7]]-T_All_K1_N10_P70[[#This Row],[6]])/(ABS(T_All_K1_N10_P70[[#This Row],[6]]))</f>
        <v>0.80697202940321455</v>
      </c>
      <c r="I6">
        <f>(T_All_K1_N10_P70[[#This Row],[8]]-T_All_K1_N10_P70[[#This Row],[7]])/(ABS(T_All_K1_N10_P70[[#This Row],[7]]))</f>
        <v>-0.37329401328708828</v>
      </c>
      <c r="K6">
        <f t="shared" si="0"/>
        <v>0.22511313612917128</v>
      </c>
      <c r="L6">
        <f>(T_All_K1_N10_P70[[#This Row],[8]]-T_All_K1_N10_P70[[#This Row],[0]])/ABS(T_All_K1_N10_P70[[#This Row],[0]])</f>
        <v>0.36788336550539458</v>
      </c>
    </row>
    <row r="7" spans="1:12" x14ac:dyDescent="0.25">
      <c r="A7" t="str">
        <f>T_All_K1_N10_P70[[#This Row],[Identifier]]</f>
        <v>bf672a0bbcfadd3db3a9b4d92c460cd419f219ccca63c7cf032642559a1538ae</v>
      </c>
      <c r="B7">
        <f>(T_All_K1_N10_P70[[#This Row],[1]]-T_All_K1_N10_P70[[#This Row],[0]])/(ABS(T_All_K1_N10_P70[[#This Row],[0]]))</f>
        <v>0.49447921758160857</v>
      </c>
      <c r="C7">
        <f>(T_All_K1_N10_P70[[#This Row],[2]]-T_All_K1_N10_P70[[#This Row],[1]])/(ABS(T_All_K1_N10_P70[[#This Row],[1]]))</f>
        <v>1.6568389973932955</v>
      </c>
      <c r="D7">
        <f>(T_All_K1_N10_P70[[#This Row],[3]]-T_All_K1_N10_P70[[#This Row],[2]])/(ABS(T_All_K1_N10_P70[[#This Row],[2]]))</f>
        <v>-0.37968560415271208</v>
      </c>
      <c r="E7">
        <f>(T_All_K1_N10_P70[[#This Row],[4]]-T_All_K1_N10_P70[[#This Row],[3]])/(ABS(T_All_K1_N10_P70[[#This Row],[3]]))</f>
        <v>0.80692662420621908</v>
      </c>
      <c r="F7">
        <f>(T_All_K1_N10_P70[[#This Row],[5]]-T_All_K1_N10_P70[[#This Row],[4]])/(ABS(T_All_K1_N10_P70[[#This Row],[4]]))</f>
        <v>-0.18108767076015117</v>
      </c>
      <c r="G7">
        <f>(T_All_K1_N10_P70[[#This Row],[6]]-T_All_K1_N10_P70[[#This Row],[5]])/(ABS(T_All_K1_N10_P70[[#This Row],[5]]))</f>
        <v>4.6824833115471497E-2</v>
      </c>
      <c r="H7">
        <f>(T_All_K1_N10_P70[[#This Row],[7]]-T_All_K1_N10_P70[[#This Row],[6]])/(ABS(T_All_K1_N10_P70[[#This Row],[6]]))</f>
        <v>-0.43578764338840803</v>
      </c>
      <c r="I7">
        <f>(T_All_K1_N10_P70[[#This Row],[8]]-T_All_K1_N10_P70[[#This Row],[7]])/(ABS(T_All_K1_N10_P70[[#This Row],[7]]))</f>
        <v>0.85189703071009348</v>
      </c>
      <c r="K7">
        <f t="shared" si="0"/>
        <v>0.35755072308817704</v>
      </c>
      <c r="L7">
        <f>(T_All_K1_N10_P70[[#This Row],[8]]-T_All_K1_N10_P70[[#This Row],[0]])/ABS(T_All_K1_N10_P70[[#This Row],[0]])</f>
        <v>2.9863768251115057</v>
      </c>
    </row>
    <row r="8" spans="1:12" x14ac:dyDescent="0.25">
      <c r="A8" t="str">
        <f>T_All_K1_N10_P70[[#This Row],[Identifier]]</f>
        <v>79f31f80c434406c37aa8483cfbd7873501a78718e042ce6cf747b7d29bc233d</v>
      </c>
      <c r="B8">
        <f>(T_All_K1_N10_P70[[#This Row],[1]]-T_All_K1_N10_P70[[#This Row],[0]])/(ABS(T_All_K1_N10_P70[[#This Row],[0]]))</f>
        <v>3.0561189544792273E-2</v>
      </c>
      <c r="C8">
        <f>(T_All_K1_N10_P70[[#This Row],[2]]-T_All_K1_N10_P70[[#This Row],[1]])/(ABS(T_All_K1_N10_P70[[#This Row],[1]]))</f>
        <v>0.12394824620231254</v>
      </c>
      <c r="D8">
        <f>(T_All_K1_N10_P70[[#This Row],[3]]-T_All_K1_N10_P70[[#This Row],[2]])/(ABS(T_All_K1_N10_P70[[#This Row],[2]]))</f>
        <v>7.6862908771301267E-2</v>
      </c>
      <c r="E8">
        <f>(T_All_K1_N10_P70[[#This Row],[4]]-T_All_K1_N10_P70[[#This Row],[3]])/(ABS(T_All_K1_N10_P70[[#This Row],[3]]))</f>
        <v>-0.32649142563025307</v>
      </c>
      <c r="F8">
        <f>(T_All_K1_N10_P70[[#This Row],[5]]-T_All_K1_N10_P70[[#This Row],[4]])/(ABS(T_All_K1_N10_P70[[#This Row],[4]]))</f>
        <v>-0.15434971102332717</v>
      </c>
      <c r="G8">
        <f>(T_All_K1_N10_P70[[#This Row],[6]]-T_All_K1_N10_P70[[#This Row],[5]])/(ABS(T_All_K1_N10_P70[[#This Row],[5]]))</f>
        <v>-0.16133710876391541</v>
      </c>
      <c r="H8">
        <f>(T_All_K1_N10_P70[[#This Row],[7]]-T_All_K1_N10_P70[[#This Row],[6]])/(ABS(T_All_K1_N10_P70[[#This Row],[6]]))</f>
        <v>1.120913569474856</v>
      </c>
      <c r="I8">
        <f>(T_All_K1_N10_P70[[#This Row],[8]]-T_All_K1_N10_P70[[#This Row],[7]])/(ABS(T_All_K1_N10_P70[[#This Row],[7]]))</f>
        <v>-0.43650049034362975</v>
      </c>
      <c r="K8">
        <f t="shared" si="0"/>
        <v>3.4200897279017088E-2</v>
      </c>
      <c r="L8">
        <f>(T_All_K1_N10_P70[[#This Row],[8]]-T_All_K1_N10_P70[[#This Row],[0]])/ABS(T_All_K1_N10_P70[[#This Row],[0]])</f>
        <v>-0.28793705458625957</v>
      </c>
    </row>
    <row r="9" spans="1:12" x14ac:dyDescent="0.25">
      <c r="A9" t="str">
        <f>T_All_K1_N10_P70[[#This Row],[Identifier]]</f>
        <v>41fe2abdbd749f47fdccb8c6804e02b71cfd1eae3de99818d5bb8d69495e0d63</v>
      </c>
      <c r="B9">
        <f>(T_All_K1_N10_P70[[#This Row],[1]]-T_All_K1_N10_P70[[#This Row],[0]])/(ABS(T_All_K1_N10_P70[[#This Row],[0]]))</f>
        <v>1.8341147441768277</v>
      </c>
      <c r="C9">
        <f>(T_All_K1_N10_P70[[#This Row],[2]]-T_All_K1_N10_P70[[#This Row],[1]])/(ABS(T_All_K1_N10_P70[[#This Row],[1]]))</f>
        <v>0.32664707751814021</v>
      </c>
      <c r="D9">
        <f>(T_All_K1_N10_P70[[#This Row],[3]]-T_All_K1_N10_P70[[#This Row],[2]])/(ABS(T_All_K1_N10_P70[[#This Row],[2]]))</f>
        <v>-0.60378502979232251</v>
      </c>
      <c r="E9">
        <f>(T_All_K1_N10_P70[[#This Row],[4]]-T_All_K1_N10_P70[[#This Row],[3]])/(ABS(T_All_K1_N10_P70[[#This Row],[3]]))</f>
        <v>0.94823950214879116</v>
      </c>
      <c r="F9">
        <f>(T_All_K1_N10_P70[[#This Row],[5]]-T_All_K1_N10_P70[[#This Row],[4]])/(ABS(T_All_K1_N10_P70[[#This Row],[4]]))</f>
        <v>6.2535208012324386E-2</v>
      </c>
      <c r="G9">
        <f>(T_All_K1_N10_P70[[#This Row],[6]]-T_All_K1_N10_P70[[#This Row],[5]])/(ABS(T_All_K1_N10_P70[[#This Row],[5]]))</f>
        <v>0.84152996420415027</v>
      </c>
      <c r="H9">
        <f>(T_All_K1_N10_P70[[#This Row],[7]]-T_All_K1_N10_P70[[#This Row],[6]])/(ABS(T_All_K1_N10_P70[[#This Row],[6]]))</f>
        <v>9.4778357658667337E-2</v>
      </c>
      <c r="I9">
        <f>(T_All_K1_N10_P70[[#This Row],[8]]-T_All_K1_N10_P70[[#This Row],[7]])/(ABS(T_All_K1_N10_P70[[#This Row],[7]]))</f>
        <v>-1.3885964025009503</v>
      </c>
      <c r="K9">
        <f t="shared" si="0"/>
        <v>0.26443292767820348</v>
      </c>
      <c r="L9">
        <f>(T_All_K1_N10_P70[[#This Row],[8]]-T_All_K1_N10_P70[[#This Row],[0]])/ABS(T_All_K1_N10_P70[[#This Row],[0]])</f>
        <v>-3.4159790163428707</v>
      </c>
    </row>
    <row r="10" spans="1:12" x14ac:dyDescent="0.25">
      <c r="A10" t="str">
        <f>T_All_K1_N10_P70[[#This Row],[Identifier]]</f>
        <v>8895048ddeedb4b129b9ab24b00d81ddaaf65733d9172ad21a9d71741bef4160</v>
      </c>
      <c r="B10">
        <f>(T_All_K1_N10_P70[[#This Row],[1]]-T_All_K1_N10_P70[[#This Row],[0]])/(ABS(T_All_K1_N10_P70[[#This Row],[0]]))</f>
        <v>-0.671380259587533</v>
      </c>
      <c r="C10">
        <f>(T_All_K1_N10_P70[[#This Row],[2]]-T_All_K1_N10_P70[[#This Row],[1]])/(ABS(T_All_K1_N10_P70[[#This Row],[1]]))</f>
        <v>0.16654639867171669</v>
      </c>
      <c r="D10">
        <f>(T_All_K1_N10_P70[[#This Row],[3]]-T_All_K1_N10_P70[[#This Row],[2]])/(ABS(T_All_K1_N10_P70[[#This Row],[2]]))</f>
        <v>-9.9657294778538616E-2</v>
      </c>
      <c r="E10">
        <f>(T_All_K1_N10_P70[[#This Row],[4]]-T_All_K1_N10_P70[[#This Row],[3]])/(ABS(T_All_K1_N10_P70[[#This Row],[3]]))</f>
        <v>1.3845006684240233</v>
      </c>
      <c r="F10">
        <f>(T_All_K1_N10_P70[[#This Row],[5]]-T_All_K1_N10_P70[[#This Row],[4]])/(ABS(T_All_K1_N10_P70[[#This Row],[4]]))</f>
        <v>-0.33274077756014236</v>
      </c>
      <c r="G10">
        <f>(T_All_K1_N10_P70[[#This Row],[6]]-T_All_K1_N10_P70[[#This Row],[5]])/(ABS(T_All_K1_N10_P70[[#This Row],[5]]))</f>
        <v>0.2721751565206198</v>
      </c>
      <c r="H10">
        <f>(T_All_K1_N10_P70[[#This Row],[7]]-T_All_K1_N10_P70[[#This Row],[6]])/(ABS(T_All_K1_N10_P70[[#This Row],[6]]))</f>
        <v>-0.59102666385724689</v>
      </c>
      <c r="I10">
        <f>(T_All_K1_N10_P70[[#This Row],[8]]-T_All_K1_N10_P70[[#This Row],[7]])/(ABS(T_All_K1_N10_P70[[#This Row],[7]]))</f>
        <v>1.1904827189017668</v>
      </c>
      <c r="K10">
        <f t="shared" si="0"/>
        <v>0.16486249334183323</v>
      </c>
      <c r="L10">
        <f>(T_All_K1_N10_P70[[#This Row],[8]]-T_All_K1_N10_P70[[#This Row],[0]])/ABS(T_All_K1_N10_P70[[#This Row],[0]])</f>
        <v>-0.37413987139065746</v>
      </c>
    </row>
    <row r="11" spans="1:12" x14ac:dyDescent="0.25">
      <c r="A11" t="str">
        <f>T_All_K1_N10_P70[[#This Row],[Identifier]]</f>
        <v>fa4c980d3a1d383593293dd87ea1139804fb720a62a6f5371c15b8ba99a41071</v>
      </c>
      <c r="B11">
        <f>(T_All_K1_N10_P70[[#This Row],[1]]-T_All_K1_N10_P70[[#This Row],[0]])/(ABS(T_All_K1_N10_P70[[#This Row],[0]]))</f>
        <v>0.10140262999399212</v>
      </c>
      <c r="C11">
        <f>(T_All_K1_N10_P70[[#This Row],[2]]-T_All_K1_N10_P70[[#This Row],[1]])/(ABS(T_All_K1_N10_P70[[#This Row],[1]]))</f>
        <v>0.37587433237561824</v>
      </c>
      <c r="D11">
        <f>(T_All_K1_N10_P70[[#This Row],[3]]-T_All_K1_N10_P70[[#This Row],[2]])/(ABS(T_All_K1_N10_P70[[#This Row],[2]]))</f>
        <v>-0.46973507029902356</v>
      </c>
      <c r="E11">
        <f>(T_All_K1_N10_P70[[#This Row],[4]]-T_All_K1_N10_P70[[#This Row],[3]])/(ABS(T_All_K1_N10_P70[[#This Row],[3]]))</f>
        <v>0.96077963706304181</v>
      </c>
      <c r="F11">
        <f>(T_All_K1_N10_P70[[#This Row],[5]]-T_All_K1_N10_P70[[#This Row],[4]])/(ABS(T_All_K1_N10_P70[[#This Row],[4]]))</f>
        <v>-0.40575151708660823</v>
      </c>
      <c r="G11">
        <f>(T_All_K1_N10_P70[[#This Row],[6]]-T_All_K1_N10_P70[[#This Row],[5]])/(ABS(T_All_K1_N10_P70[[#This Row],[5]]))</f>
        <v>0.39683089079685435</v>
      </c>
      <c r="H11">
        <f>(T_All_K1_N10_P70[[#This Row],[7]]-T_All_K1_N10_P70[[#This Row],[6]])/(ABS(T_All_K1_N10_P70[[#This Row],[6]]))</f>
        <v>-0.27994594357722302</v>
      </c>
      <c r="I11">
        <f>(T_All_K1_N10_P70[[#This Row],[8]]-T_All_K1_N10_P70[[#This Row],[7]])/(ABS(T_All_K1_N10_P70[[#This Row],[7]]))</f>
        <v>-0.20844510810384276</v>
      </c>
      <c r="K11">
        <f>AVERAGE(B11:I11)</f>
        <v>5.8876231395351128E-2</v>
      </c>
      <c r="L11">
        <f>(T_All_K1_N10_P70[[#This Row],[8]]-T_All_K1_N10_P70[[#This Row],[0]])/ABS(T_All_K1_N10_P70[[#This Row],[0]])</f>
        <v>-0.25457385330874482</v>
      </c>
    </row>
    <row r="14" spans="1:12" x14ac:dyDescent="0.25">
      <c r="J14" s="2" t="s">
        <v>25</v>
      </c>
      <c r="K14">
        <f>AVERAGE(K2:K11)</f>
        <v>0.22109608637384928</v>
      </c>
      <c r="L14">
        <f>AVERAGE(L2:L11)</f>
        <v>0.68349077185668849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0.21423406019320668</v>
      </c>
      <c r="C18" s="5">
        <f t="shared" ref="C18:I18" si="1">AVERAGE(C2:C11)</f>
        <v>0.54324328148556178</v>
      </c>
      <c r="D18" s="5">
        <f t="shared" si="1"/>
        <v>4.7943378656748997E-2</v>
      </c>
      <c r="E18" s="5">
        <f t="shared" si="1"/>
        <v>0.44644615534705145</v>
      </c>
      <c r="F18" s="5">
        <f t="shared" si="1"/>
        <v>4.0847206885076322E-2</v>
      </c>
      <c r="G18" s="5">
        <f t="shared" si="1"/>
        <v>9.6870961260942301E-2</v>
      </c>
      <c r="H18" s="5">
        <f t="shared" si="1"/>
        <v>0.34137583328137805</v>
      </c>
      <c r="I18" s="5">
        <f t="shared" si="1"/>
        <v>3.7807813880828364E-2</v>
      </c>
      <c r="J18" s="5"/>
      <c r="K18" s="5">
        <f>AVERAGE(B18:I18)</f>
        <v>0.22109608637384923</v>
      </c>
      <c r="L18" s="5">
        <f>(I18-B18)/(ABS(B18))</f>
        <v>-0.82352099452938787</v>
      </c>
    </row>
  </sheetData>
  <conditionalFormatting sqref="A18:XFD18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1:L25 K26 K27:L1048576">
    <cfRule type="cellIs" dxfId="2" priority="3" operator="lessThan">
      <formula>0</formula>
    </cfRule>
    <cfRule type="cellIs" dxfId="1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P70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2026-01-21T01:35:46Z</dcterms:modified>
</cp:coreProperties>
</file>