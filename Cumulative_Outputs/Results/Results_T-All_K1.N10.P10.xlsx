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Boolean_Network_SISOR_Degeneracy_Simulator\Boolean_Network_SISOR_Degeneracy_Simulator\Cumulative_Outputs\Results\"/>
    </mc:Choice>
  </mc:AlternateContent>
  <xr:revisionPtr revIDLastSave="0" documentId="13_ncr:1_{DB4D44A6-A8A8-4B18-8091-BA681E959184}" xr6:coauthVersionLast="47" xr6:coauthVersionMax="47" xr10:uidLastSave="{00000000-0000-0000-0000-000000000000}"/>
  <bookViews>
    <workbookView xWindow="-120" yWindow="-120" windowWidth="38640" windowHeight="21240" activeTab="2" xr2:uid="{5CF18307-C3AA-4F8D-B283-B3AED6997DE3}"/>
  </bookViews>
  <sheets>
    <sheet name="T-All_K1 N10 P10" sheetId="2" r:id="rId1"/>
    <sheet name="R Squared" sheetId="1" r:id="rId2"/>
    <sheet name="Relative Change" sheetId="3" r:id="rId3"/>
  </sheets>
  <definedNames>
    <definedName name="ExternalData_1" localSheetId="0" hidden="1">'T-All_K1 N10 P10'!$A$1:$L$4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3" l="1"/>
  <c r="K14" i="3"/>
  <c r="C18" i="3"/>
  <c r="D18" i="3"/>
  <c r="E18" i="3"/>
  <c r="F18" i="3"/>
  <c r="G18" i="3"/>
  <c r="H18" i="3"/>
  <c r="I18" i="3"/>
  <c r="B18" i="3"/>
  <c r="C18" i="1"/>
  <c r="D18" i="1"/>
  <c r="E18" i="1"/>
  <c r="F18" i="1"/>
  <c r="G18" i="1"/>
  <c r="H18" i="1"/>
  <c r="I18" i="1"/>
  <c r="J18" i="1"/>
  <c r="B18" i="1"/>
  <c r="L14" i="1"/>
  <c r="L3" i="3" l="1"/>
  <c r="L4" i="3"/>
  <c r="L5" i="3"/>
  <c r="L6" i="3"/>
  <c r="L7" i="3"/>
  <c r="L8" i="3"/>
  <c r="L9" i="3"/>
  <c r="L10" i="3"/>
  <c r="L11" i="3"/>
  <c r="L2" i="3"/>
  <c r="B5" i="3"/>
  <c r="K5" i="3" s="1"/>
  <c r="C5" i="3"/>
  <c r="D5" i="3"/>
  <c r="E5" i="3"/>
  <c r="F5" i="3"/>
  <c r="G5" i="3"/>
  <c r="H5" i="3"/>
  <c r="I5" i="3"/>
  <c r="B6" i="3"/>
  <c r="K6" i="3" s="1"/>
  <c r="C6" i="3"/>
  <c r="D6" i="3"/>
  <c r="E6" i="3"/>
  <c r="F6" i="3"/>
  <c r="G6" i="3"/>
  <c r="H6" i="3"/>
  <c r="I6" i="3"/>
  <c r="B7" i="3"/>
  <c r="C7" i="3"/>
  <c r="D7" i="3"/>
  <c r="E7" i="3"/>
  <c r="F7" i="3"/>
  <c r="G7" i="3"/>
  <c r="H7" i="3"/>
  <c r="I7" i="3"/>
  <c r="B8" i="3"/>
  <c r="C8" i="3"/>
  <c r="D8" i="3"/>
  <c r="E8" i="3"/>
  <c r="F8" i="3"/>
  <c r="G8" i="3"/>
  <c r="H8" i="3"/>
  <c r="I8" i="3"/>
  <c r="B9" i="3"/>
  <c r="K9" i="3" s="1"/>
  <c r="C9" i="3"/>
  <c r="D9" i="3"/>
  <c r="E9" i="3"/>
  <c r="F9" i="3"/>
  <c r="G9" i="3"/>
  <c r="H9" i="3"/>
  <c r="I9" i="3"/>
  <c r="B10" i="3"/>
  <c r="K10" i="3" s="1"/>
  <c r="C10" i="3"/>
  <c r="D10" i="3"/>
  <c r="E10" i="3"/>
  <c r="F10" i="3"/>
  <c r="G10" i="3"/>
  <c r="H10" i="3"/>
  <c r="I10" i="3"/>
  <c r="B11" i="3"/>
  <c r="K11" i="3" s="1"/>
  <c r="C11" i="3"/>
  <c r="D11" i="3"/>
  <c r="E11" i="3"/>
  <c r="F11" i="3"/>
  <c r="G11" i="3"/>
  <c r="H11" i="3"/>
  <c r="I11" i="3"/>
  <c r="B4" i="3"/>
  <c r="K4" i="3" s="1"/>
  <c r="C4" i="3"/>
  <c r="D4" i="3"/>
  <c r="E4" i="3"/>
  <c r="F4" i="3"/>
  <c r="G4" i="3"/>
  <c r="H4" i="3"/>
  <c r="I4" i="3"/>
  <c r="C3" i="3"/>
  <c r="D3" i="3"/>
  <c r="E3" i="3"/>
  <c r="F3" i="3"/>
  <c r="G3" i="3"/>
  <c r="H3" i="3"/>
  <c r="I3" i="3"/>
  <c r="B3" i="3"/>
  <c r="C2" i="3"/>
  <c r="D2" i="3"/>
  <c r="E2" i="3"/>
  <c r="F2" i="3"/>
  <c r="G2" i="3"/>
  <c r="H2" i="3"/>
  <c r="I2" i="3"/>
  <c r="B2" i="3"/>
  <c r="A3" i="3"/>
  <c r="A4" i="3"/>
  <c r="A5" i="3"/>
  <c r="A6" i="3"/>
  <c r="A7" i="3"/>
  <c r="A8" i="3"/>
  <c r="A9" i="3"/>
  <c r="A10" i="3"/>
  <c r="A11" i="3"/>
  <c r="A2" i="3"/>
  <c r="K8" i="3"/>
  <c r="K7" i="3"/>
  <c r="A3" i="1"/>
  <c r="B3" i="1"/>
  <c r="C3" i="1"/>
  <c r="D3" i="1"/>
  <c r="L3" i="1" s="1"/>
  <c r="E3" i="1"/>
  <c r="F3" i="1"/>
  <c r="G3" i="1"/>
  <c r="H3" i="1"/>
  <c r="I3" i="1"/>
  <c r="J3" i="1"/>
  <c r="A4" i="1"/>
  <c r="B4" i="1"/>
  <c r="C4" i="1"/>
  <c r="D4" i="1"/>
  <c r="E4" i="1"/>
  <c r="F4" i="1"/>
  <c r="G4" i="1"/>
  <c r="H4" i="1"/>
  <c r="I4" i="1"/>
  <c r="J4" i="1"/>
  <c r="A5" i="1"/>
  <c r="B5" i="1"/>
  <c r="C5" i="1"/>
  <c r="D5" i="1"/>
  <c r="E5" i="1"/>
  <c r="F5" i="1"/>
  <c r="G5" i="1"/>
  <c r="H5" i="1"/>
  <c r="I5" i="1"/>
  <c r="J5" i="1"/>
  <c r="A6" i="1"/>
  <c r="B6" i="1"/>
  <c r="L6" i="1" s="1"/>
  <c r="C6" i="1"/>
  <c r="D6" i="1"/>
  <c r="E6" i="1"/>
  <c r="F6" i="1"/>
  <c r="G6" i="1"/>
  <c r="H6" i="1"/>
  <c r="I6" i="1"/>
  <c r="J6" i="1"/>
  <c r="A7" i="1"/>
  <c r="B7" i="1"/>
  <c r="C7" i="1"/>
  <c r="D7" i="1"/>
  <c r="E7" i="1"/>
  <c r="F7" i="1"/>
  <c r="G7" i="1"/>
  <c r="H7" i="1"/>
  <c r="I7" i="1"/>
  <c r="J7" i="1"/>
  <c r="A8" i="1"/>
  <c r="B8" i="1"/>
  <c r="L8" i="1" s="1"/>
  <c r="C8" i="1"/>
  <c r="D8" i="1"/>
  <c r="E8" i="1"/>
  <c r="F8" i="1"/>
  <c r="G8" i="1"/>
  <c r="H8" i="1"/>
  <c r="I8" i="1"/>
  <c r="J8" i="1"/>
  <c r="A9" i="1"/>
  <c r="B9" i="1"/>
  <c r="C9" i="1"/>
  <c r="D9" i="1"/>
  <c r="E9" i="1"/>
  <c r="F9" i="1"/>
  <c r="G9" i="1"/>
  <c r="H9" i="1"/>
  <c r="I9" i="1"/>
  <c r="J9" i="1"/>
  <c r="A10" i="1"/>
  <c r="B10" i="1"/>
  <c r="L10" i="1" s="1"/>
  <c r="C10" i="1"/>
  <c r="D10" i="1"/>
  <c r="E10" i="1"/>
  <c r="F10" i="1"/>
  <c r="G10" i="1"/>
  <c r="H10" i="1"/>
  <c r="I10" i="1"/>
  <c r="J10" i="1"/>
  <c r="A11" i="1"/>
  <c r="B11" i="1"/>
  <c r="C11" i="1"/>
  <c r="D11" i="1"/>
  <c r="E11" i="1"/>
  <c r="F11" i="1"/>
  <c r="G11" i="1"/>
  <c r="H11" i="1"/>
  <c r="I11" i="1"/>
  <c r="J11" i="1"/>
  <c r="B2" i="1"/>
  <c r="C2" i="1"/>
  <c r="D2" i="1"/>
  <c r="E2" i="1"/>
  <c r="F2" i="1"/>
  <c r="G2" i="1"/>
  <c r="H2" i="1"/>
  <c r="I2" i="1"/>
  <c r="J2" i="1"/>
  <c r="A2" i="1"/>
  <c r="L11" i="1"/>
  <c r="L9" i="1"/>
  <c r="L7" i="1"/>
  <c r="L5" i="1"/>
  <c r="L4" i="1" l="1"/>
  <c r="K3" i="3"/>
  <c r="K2" i="3"/>
  <c r="L18" i="1"/>
  <c r="L2" i="1"/>
  <c r="L18" i="3" l="1"/>
  <c r="K1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CC79DC-2169-4BCF-A7B0-20B0327080BD}" keepAlive="1" name="Query - T-All_K1 N10 P10" description="Connection to the 'T-All_K1 N10 P10' query in the workbook." type="5" refreshedVersion="8" background="1" saveData="1">
    <dbPr connection="Provider=Microsoft.Mashup.OleDb.1;Data Source=$Workbook$;Location=&quot;T-All_K1 N10 P10&quot;;Extended Properties=&quot;&quot;" command="SELECT * FROM [T-All_K1 N10 P10]"/>
  </connection>
</connections>
</file>

<file path=xl/sharedStrings.xml><?xml version="1.0" encoding="utf-8"?>
<sst xmlns="http://schemas.openxmlformats.org/spreadsheetml/2006/main" count="43" uniqueCount="30">
  <si>
    <t>Identifier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</si>
  <si>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</si>
  <si>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</si>
  <si>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</si>
  <si>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</si>
  <si>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</si>
  <si>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</si>
  <si>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</si>
  <si>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</si>
  <si>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</si>
  <si>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</si>
  <si>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</si>
  <si>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d25aa1037abc0ee33ddf41d15dc8098b5dab31e232686a7a8490057d92d238a8</t>
  </si>
  <si>
    <t>2717b7cd07b3492daa233fba3b311ad11022633fc6887c63a275c09f741c88ad</t>
  </si>
  <si>
    <t>9b563802ec83c693bed1ac3dc42c6e4b8015c6a100b0f60b7f0790385e7c0666</t>
  </si>
  <si>
    <t>R Squared</t>
  </si>
  <si>
    <t>Ave RSQ</t>
  </si>
  <si>
    <t>RSQ of Ave</t>
  </si>
  <si>
    <t>T Averages</t>
  </si>
  <si>
    <t>ID</t>
  </si>
  <si>
    <t>0-1</t>
  </si>
  <si>
    <t>1-2</t>
  </si>
  <si>
    <t>2-3</t>
  </si>
  <si>
    <t>3-4</t>
  </si>
  <si>
    <t>4-5</t>
  </si>
  <si>
    <t>5-6</t>
  </si>
  <si>
    <t>6-7</t>
  </si>
  <si>
    <t>7-8</t>
  </si>
  <si>
    <t>Average</t>
  </si>
  <si>
    <t>Max-Min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</si>
</sst>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" fontId="0" fillId="0" borderId="0" xfId="0" applyNumberFormat="1"/>
    <xf numFmtId="0" fontId="1" fillId="0" borderId="0" xfId="0" applyFont="1"/>
    <xf numFmtId="2" fontId="0" fillId="0" borderId="0" xfId="0" applyNumberFormat="1"/>
    <xf numFmtId="0" fontId="1" fillId="0" borderId="0" xfId="0" quotePrefix="1" applyFont="1"/>
    <xf numFmtId="0" fontId="2" fillId="0" borderId="0" xfId="0" applyFont="1"/>
    <xf numFmtId="0" fontId="3" fillId="0" borderId="0" xfId="0" applyFont="1"/>
    <xf numFmtId="0" fontId="3" fillId="0" borderId="0" xfId="0" quotePrefix="1" applyFont="1"/>
  </cellXfs>
  <cellStyles count="1">
    <cellStyle name="Normal" xfId="0" builtinId="0"/>
  </cellStyles>
  <dxfs count="9"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CC"/>
        </patternFill>
      </fill>
    </dxf>
    <dxf>
      <fill>
        <patternFill patternType="none">
          <bgColor auto="1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7FC5C29-7C7D-41E0-8044-CB344FB92289}" autoFormatId="16" applyNumberFormats="0" applyBorderFormats="0" applyFontFormats="0" applyPatternFormats="0" applyAlignmentFormats="0" applyWidthHeightFormats="0">
  <queryTableRefresh nextId="13">
    <queryTableFields count="12">
      <queryTableField id="1" name="Identifier" tableColumnId="1"/>
      <queryTableField id="2" name="0" tableColumnId="2"/>
      <queryTableField id="3" name="1" tableColumnId="3"/>
      <queryTableField id="4" name="2" tableColumnId="4"/>
      <queryTableField id="5" name="3" tableColumnId="5"/>
      <queryTableField id="6" name="4" tableColumnId="6"/>
      <queryTableField id="7" name="5" tableColumnId="7"/>
      <queryTableField id="8" name="6" tableColumnId="8"/>
      <queryTableField id="9" name="7" tableColumnId="9"/>
      <queryTableField id="10" name="8" tableColumnId="10"/>
      <queryTableField id="11" name="9" tableColumnId="11"/>
      <queryTableField id="12" name="10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804672-D6B2-4AC9-8035-BE87FC7BFFD2}" name="T_All_K1_N10_P10" displayName="T_All_K1_N10_P10" ref="A1:L4" tableType="queryTable" totalsRowShown="0">
  <autoFilter ref="A1:L4" xr:uid="{80804672-D6B2-4AC9-8035-BE87FC7BFFD2}"/>
  <tableColumns count="12">
    <tableColumn id="1" xr3:uid="{E6987036-F876-4E52-9C04-646196CA4595}" uniqueName="1" name="Identifier" queryTableFieldId="1" dataDxfId="8"/>
    <tableColumn id="2" xr3:uid="{0C968B3F-7D00-4C01-9461-8F1179E382E6}" uniqueName="2" name="0" queryTableFieldId="2"/>
    <tableColumn id="3" xr3:uid="{D352341E-EB4F-4034-950E-2E5D5DF2465F}" uniqueName="3" name="1" queryTableFieldId="3"/>
    <tableColumn id="4" xr3:uid="{1F1D4C01-65D5-4F2D-A951-E919FA3E9FA3}" uniqueName="4" name="2" queryTableFieldId="4"/>
    <tableColumn id="5" xr3:uid="{0FB7260E-8336-42C3-9B9E-95FC36C57329}" uniqueName="5" name="3" queryTableFieldId="5"/>
    <tableColumn id="6" xr3:uid="{27B22EE1-229A-4350-B072-829193DB4505}" uniqueName="6" name="4" queryTableFieldId="6"/>
    <tableColumn id="7" xr3:uid="{47ABAC8D-7AD1-4372-9511-A050DE8E3815}" uniqueName="7" name="5" queryTableFieldId="7"/>
    <tableColumn id="8" xr3:uid="{E860E029-75C1-40B7-AADD-DB1C96BF6011}" uniqueName="8" name="6" queryTableFieldId="8"/>
    <tableColumn id="9" xr3:uid="{BCB101BC-9798-4D98-8694-C76DA8916CEE}" uniqueName="9" name="7" queryTableFieldId="9"/>
    <tableColumn id="10" xr3:uid="{A3C6316F-861E-4375-8B9E-17935D3E9289}" uniqueName="10" name="8" queryTableFieldId="10"/>
    <tableColumn id="11" xr3:uid="{BDB8BE69-A2E6-4D56-A2A3-6CFDD9D2B51A}" uniqueName="11" name="9" queryTableFieldId="11"/>
    <tableColumn id="12" xr3:uid="{7EF22797-133B-40DF-8FAD-BD237ACCF0E7}" uniqueName="12" name="10" queryTableField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F877F-631B-4F87-AF6E-1AB7D24FAA39}">
  <dimension ref="A1:L4"/>
  <sheetViews>
    <sheetView zoomScale="85" zoomScaleNormal="85" workbookViewId="0">
      <selection activeCell="F13" sqref="F13"/>
    </sheetView>
  </sheetViews>
  <sheetFormatPr defaultRowHeight="15" x14ac:dyDescent="0.25"/>
  <cols>
    <col min="1" max="1" width="69.140625" bestFit="1" customWidth="1"/>
    <col min="2" max="10" width="12" bestFit="1" customWidth="1"/>
    <col min="11" max="11" width="4.28515625" bestFit="1" customWidth="1"/>
    <col min="12" max="12" width="5.28515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>
        <v>7.7093696345728411</v>
      </c>
      <c r="C2">
        <v>5.7906130446282225</v>
      </c>
      <c r="D2">
        <v>5.3500625842843226</v>
      </c>
      <c r="E2">
        <v>4.8427418167938994</v>
      </c>
      <c r="F2">
        <v>6.032011919077763</v>
      </c>
      <c r="G2">
        <v>6.7457797535225552</v>
      </c>
      <c r="H2">
        <v>6.5110442794470487</v>
      </c>
      <c r="I2">
        <v>4.1704675159325175</v>
      </c>
      <c r="J2">
        <v>6.8878689712785777</v>
      </c>
    </row>
    <row r="3" spans="1:12" x14ac:dyDescent="0.25">
      <c r="A3" t="s">
        <v>13</v>
      </c>
      <c r="B3">
        <v>7.3987379043496944</v>
      </c>
      <c r="C3">
        <v>3.9908401073632067</v>
      </c>
      <c r="D3">
        <v>5.7795224987410529</v>
      </c>
      <c r="E3">
        <v>4.3785778318017723</v>
      </c>
      <c r="F3">
        <v>2.631744695779286</v>
      </c>
      <c r="G3">
        <v>2.2776689521769637</v>
      </c>
      <c r="H3">
        <v>5.375273804028506</v>
      </c>
      <c r="I3">
        <v>4.017226072352452</v>
      </c>
      <c r="J3">
        <v>7.1461823155905346</v>
      </c>
    </row>
    <row r="4" spans="1:12" x14ac:dyDescent="0.25">
      <c r="A4" t="s">
        <v>14</v>
      </c>
      <c r="B4">
        <v>7.7130281156282345</v>
      </c>
      <c r="C4">
        <v>4.0408080673578324</v>
      </c>
      <c r="D4">
        <v>5.2979041136348721</v>
      </c>
      <c r="E4">
        <v>8.7587832900152609</v>
      </c>
      <c r="F4">
        <v>6.5337826073465006</v>
      </c>
      <c r="G4">
        <v>6.9128844311354927</v>
      </c>
      <c r="H4">
        <v>8.3792920231659291</v>
      </c>
      <c r="I4">
        <v>3.5290363793621151</v>
      </c>
      <c r="J4">
        <v>5.8385245870194673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EA63F-D7AF-43CF-B6E6-E01A84121C52}">
  <dimension ref="A1:L18"/>
  <sheetViews>
    <sheetView workbookViewId="0">
      <selection activeCell="D31" sqref="D31"/>
    </sheetView>
  </sheetViews>
  <sheetFormatPr defaultRowHeight="15" x14ac:dyDescent="0.25"/>
  <cols>
    <col min="1" max="1" width="20.42578125" customWidth="1"/>
  </cols>
  <sheetData>
    <row r="1" spans="1:12" x14ac:dyDescent="0.25">
      <c r="A1" t="s">
        <v>0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L1" s="2" t="s">
        <v>15</v>
      </c>
    </row>
    <row r="2" spans="1:12" x14ac:dyDescent="0.25">
      <c r="A2" t="str">
        <f>T_All_K1_N10_P10[[#This Row],[Identifier]]</f>
        <v>d25aa1037abc0ee33ddf41d15dc8098b5dab31e232686a7a8490057d92d238a8</v>
      </c>
      <c r="B2">
        <f>T_All_K1_N10_P10[[#This Row],[0]]</f>
        <v>7.7093696345728411</v>
      </c>
      <c r="C2">
        <f>T_All_K1_N10_P10[[#This Row],[1]]</f>
        <v>5.7906130446282225</v>
      </c>
      <c r="D2">
        <f>T_All_K1_N10_P10[[#This Row],[2]]</f>
        <v>5.3500625842843226</v>
      </c>
      <c r="E2">
        <f>T_All_K1_N10_P10[[#This Row],[3]]</f>
        <v>4.8427418167938994</v>
      </c>
      <c r="F2">
        <f>T_All_K1_N10_P10[[#This Row],[4]]</f>
        <v>6.032011919077763</v>
      </c>
      <c r="G2">
        <f>T_All_K1_N10_P10[[#This Row],[5]]</f>
        <v>6.7457797535225552</v>
      </c>
      <c r="H2">
        <f>T_All_K1_N10_P10[[#This Row],[6]]</f>
        <v>6.5110442794470487</v>
      </c>
      <c r="I2">
        <f>T_All_K1_N10_P10[[#This Row],[7]]</f>
        <v>4.1704675159325175</v>
      </c>
      <c r="J2">
        <f>T_All_K1_N10_P10[[#This Row],[8]]</f>
        <v>6.8878689712785777</v>
      </c>
      <c r="L2" s="3">
        <f t="shared" ref="L2:L11" si="0">RSQ(B2:J2,$B$1:$J$1)</f>
        <v>2.6473557482281765E-2</v>
      </c>
    </row>
    <row r="3" spans="1:12" x14ac:dyDescent="0.25">
      <c r="A3" t="str">
        <f>T_All_K1_N10_P10[[#This Row],[Identifier]]</f>
        <v>2717b7cd07b3492daa233fba3b311ad11022633fc6887c63a275c09f741c88ad</v>
      </c>
      <c r="B3">
        <f>T_All_K1_N10_P10[[#This Row],[0]]</f>
        <v>7.3987379043496944</v>
      </c>
      <c r="C3">
        <f>T_All_K1_N10_P10[[#This Row],[1]]</f>
        <v>3.9908401073632067</v>
      </c>
      <c r="D3">
        <f>T_All_K1_N10_P10[[#This Row],[2]]</f>
        <v>5.7795224987410529</v>
      </c>
      <c r="E3">
        <f>T_All_K1_N10_P10[[#This Row],[3]]</f>
        <v>4.3785778318017723</v>
      </c>
      <c r="F3">
        <f>T_All_K1_N10_P10[[#This Row],[4]]</f>
        <v>2.631744695779286</v>
      </c>
      <c r="G3">
        <f>T_All_K1_N10_P10[[#This Row],[5]]</f>
        <v>2.2776689521769637</v>
      </c>
      <c r="H3">
        <f>T_All_K1_N10_P10[[#This Row],[6]]</f>
        <v>5.375273804028506</v>
      </c>
      <c r="I3">
        <f>T_All_K1_N10_P10[[#This Row],[7]]</f>
        <v>4.017226072352452</v>
      </c>
      <c r="J3">
        <f>T_All_K1_N10_P10[[#This Row],[8]]</f>
        <v>7.1461823155905346</v>
      </c>
      <c r="L3" s="3">
        <f t="shared" si="0"/>
        <v>9.4356318647518967E-3</v>
      </c>
    </row>
    <row r="4" spans="1:12" x14ac:dyDescent="0.25">
      <c r="A4" t="str">
        <f>T_All_K1_N10_P10[[#This Row],[Identifier]]</f>
        <v>9b563802ec83c693bed1ac3dc42c6e4b8015c6a100b0f60b7f0790385e7c0666</v>
      </c>
      <c r="B4">
        <f>T_All_K1_N10_P10[[#This Row],[0]]</f>
        <v>7.7130281156282345</v>
      </c>
      <c r="C4">
        <f>T_All_K1_N10_P10[[#This Row],[1]]</f>
        <v>4.0408080673578324</v>
      </c>
      <c r="D4">
        <f>T_All_K1_N10_P10[[#This Row],[2]]</f>
        <v>5.2979041136348721</v>
      </c>
      <c r="E4">
        <f>T_All_K1_N10_P10[[#This Row],[3]]</f>
        <v>8.7587832900152609</v>
      </c>
      <c r="F4">
        <f>T_All_K1_N10_P10[[#This Row],[4]]</f>
        <v>6.5337826073465006</v>
      </c>
      <c r="G4">
        <f>T_All_K1_N10_P10[[#This Row],[5]]</f>
        <v>6.9128844311354927</v>
      </c>
      <c r="H4">
        <f>T_All_K1_N10_P10[[#This Row],[6]]</f>
        <v>8.3792920231659291</v>
      </c>
      <c r="I4">
        <f>T_All_K1_N10_P10[[#This Row],[7]]</f>
        <v>3.5290363793621151</v>
      </c>
      <c r="J4">
        <f>T_All_K1_N10_P10[[#This Row],[8]]</f>
        <v>5.8385245870194673</v>
      </c>
      <c r="L4" s="3">
        <f t="shared" si="0"/>
        <v>1.3841616109204539E-2</v>
      </c>
    </row>
    <row r="5" spans="1:12" x14ac:dyDescent="0.25">
      <c r="A5" t="e">
        <f>T_All_K1_N10_P10[[#This Row],[Identifier]]</f>
        <v>#VALUE!</v>
      </c>
      <c r="B5" t="e">
        <f>T_All_K1_N10_P10[[#This Row],[0]]</f>
        <v>#VALUE!</v>
      </c>
      <c r="C5" t="e">
        <f>T_All_K1_N10_P10[[#This Row],[1]]</f>
        <v>#VALUE!</v>
      </c>
      <c r="D5" t="e">
        <f>T_All_K1_N10_P10[[#This Row],[2]]</f>
        <v>#VALUE!</v>
      </c>
      <c r="E5" t="e">
        <f>T_All_K1_N10_P10[[#This Row],[3]]</f>
        <v>#VALUE!</v>
      </c>
      <c r="F5" t="e">
        <f>T_All_K1_N10_P10[[#This Row],[4]]</f>
        <v>#VALUE!</v>
      </c>
      <c r="G5" t="e">
        <f>T_All_K1_N10_P10[[#This Row],[5]]</f>
        <v>#VALUE!</v>
      </c>
      <c r="H5" t="e">
        <f>T_All_K1_N10_P10[[#This Row],[6]]</f>
        <v>#VALUE!</v>
      </c>
      <c r="I5" t="e">
        <f>T_All_K1_N10_P10[[#This Row],[7]]</f>
        <v>#VALUE!</v>
      </c>
      <c r="J5" t="e">
        <f>T_All_K1_N10_P10[[#This Row],[8]]</f>
        <v>#VALUE!</v>
      </c>
      <c r="L5" s="3" t="e">
        <f t="shared" si="0"/>
        <v>#VALUE!</v>
      </c>
    </row>
    <row r="6" spans="1:12" x14ac:dyDescent="0.25">
      <c r="A6" t="e">
        <f>T_All_K1_N10_P10[[#This Row],[Identifier]]</f>
        <v>#VALUE!</v>
      </c>
      <c r="B6" t="e">
        <f>T_All_K1_N10_P10[[#This Row],[0]]</f>
        <v>#VALUE!</v>
      </c>
      <c r="C6" t="e">
        <f>T_All_K1_N10_P10[[#This Row],[1]]</f>
        <v>#VALUE!</v>
      </c>
      <c r="D6" t="e">
        <f>T_All_K1_N10_P10[[#This Row],[2]]</f>
        <v>#VALUE!</v>
      </c>
      <c r="E6" t="e">
        <f>T_All_K1_N10_P10[[#This Row],[3]]</f>
        <v>#VALUE!</v>
      </c>
      <c r="F6" t="e">
        <f>T_All_K1_N10_P10[[#This Row],[4]]</f>
        <v>#VALUE!</v>
      </c>
      <c r="G6" t="e">
        <f>T_All_K1_N10_P10[[#This Row],[5]]</f>
        <v>#VALUE!</v>
      </c>
      <c r="H6" t="e">
        <f>T_All_K1_N10_P10[[#This Row],[6]]</f>
        <v>#VALUE!</v>
      </c>
      <c r="I6" t="e">
        <f>T_All_K1_N10_P10[[#This Row],[7]]</f>
        <v>#VALUE!</v>
      </c>
      <c r="J6" t="e">
        <f>T_All_K1_N10_P10[[#This Row],[8]]</f>
        <v>#VALUE!</v>
      </c>
      <c r="L6" s="3" t="e">
        <f t="shared" si="0"/>
        <v>#VALUE!</v>
      </c>
    </row>
    <row r="7" spans="1:12" x14ac:dyDescent="0.25">
      <c r="A7" t="e">
        <f>T_All_K1_N10_P10[[#This Row],[Identifier]]</f>
        <v>#VALUE!</v>
      </c>
      <c r="B7" t="e">
        <f>T_All_K1_N10_P10[[#This Row],[0]]</f>
        <v>#VALUE!</v>
      </c>
      <c r="C7" t="e">
        <f>T_All_K1_N10_P10[[#This Row],[1]]</f>
        <v>#VALUE!</v>
      </c>
      <c r="D7" t="e">
        <f>T_All_K1_N10_P10[[#This Row],[2]]</f>
        <v>#VALUE!</v>
      </c>
      <c r="E7" t="e">
        <f>T_All_K1_N10_P10[[#This Row],[3]]</f>
        <v>#VALUE!</v>
      </c>
      <c r="F7" t="e">
        <f>T_All_K1_N10_P10[[#This Row],[4]]</f>
        <v>#VALUE!</v>
      </c>
      <c r="G7" t="e">
        <f>T_All_K1_N10_P10[[#This Row],[5]]</f>
        <v>#VALUE!</v>
      </c>
      <c r="H7" t="e">
        <f>T_All_K1_N10_P10[[#This Row],[6]]</f>
        <v>#VALUE!</v>
      </c>
      <c r="I7" t="e">
        <f>T_All_K1_N10_P10[[#This Row],[7]]</f>
        <v>#VALUE!</v>
      </c>
      <c r="J7" t="e">
        <f>T_All_K1_N10_P10[[#This Row],[8]]</f>
        <v>#VALUE!</v>
      </c>
      <c r="L7" s="3" t="e">
        <f t="shared" si="0"/>
        <v>#VALUE!</v>
      </c>
    </row>
    <row r="8" spans="1:12" x14ac:dyDescent="0.25">
      <c r="A8" t="e">
        <f>T_All_K1_N10_P10[[#This Row],[Identifier]]</f>
        <v>#VALUE!</v>
      </c>
      <c r="B8" t="e">
        <f>T_All_K1_N10_P10[[#This Row],[0]]</f>
        <v>#VALUE!</v>
      </c>
      <c r="C8" t="e">
        <f>T_All_K1_N10_P10[[#This Row],[1]]</f>
        <v>#VALUE!</v>
      </c>
      <c r="D8" t="e">
        <f>T_All_K1_N10_P10[[#This Row],[2]]</f>
        <v>#VALUE!</v>
      </c>
      <c r="E8" t="e">
        <f>T_All_K1_N10_P10[[#This Row],[3]]</f>
        <v>#VALUE!</v>
      </c>
      <c r="F8" t="e">
        <f>T_All_K1_N10_P10[[#This Row],[4]]</f>
        <v>#VALUE!</v>
      </c>
      <c r="G8" t="e">
        <f>T_All_K1_N10_P10[[#This Row],[5]]</f>
        <v>#VALUE!</v>
      </c>
      <c r="H8" t="e">
        <f>T_All_K1_N10_P10[[#This Row],[6]]</f>
        <v>#VALUE!</v>
      </c>
      <c r="I8" t="e">
        <f>T_All_K1_N10_P10[[#This Row],[7]]</f>
        <v>#VALUE!</v>
      </c>
      <c r="J8" t="e">
        <f>T_All_K1_N10_P10[[#This Row],[8]]</f>
        <v>#VALUE!</v>
      </c>
      <c r="L8" s="3" t="e">
        <f t="shared" si="0"/>
        <v>#VALUE!</v>
      </c>
    </row>
    <row r="9" spans="1:12" x14ac:dyDescent="0.25">
      <c r="A9" t="e">
        <f>T_All_K1_N10_P10[[#This Row],[Identifier]]</f>
        <v>#VALUE!</v>
      </c>
      <c r="B9" t="e">
        <f>T_All_K1_N10_P10[[#This Row],[0]]</f>
        <v>#VALUE!</v>
      </c>
      <c r="C9" t="e">
        <f>T_All_K1_N10_P10[[#This Row],[1]]</f>
        <v>#VALUE!</v>
      </c>
      <c r="D9" t="e">
        <f>T_All_K1_N10_P10[[#This Row],[2]]</f>
        <v>#VALUE!</v>
      </c>
      <c r="E9" t="e">
        <f>T_All_K1_N10_P10[[#This Row],[3]]</f>
        <v>#VALUE!</v>
      </c>
      <c r="F9" t="e">
        <f>T_All_K1_N10_P10[[#This Row],[4]]</f>
        <v>#VALUE!</v>
      </c>
      <c r="G9" t="e">
        <f>T_All_K1_N10_P10[[#This Row],[5]]</f>
        <v>#VALUE!</v>
      </c>
      <c r="H9" t="e">
        <f>T_All_K1_N10_P10[[#This Row],[6]]</f>
        <v>#VALUE!</v>
      </c>
      <c r="I9" t="e">
        <f>T_All_K1_N10_P10[[#This Row],[7]]</f>
        <v>#VALUE!</v>
      </c>
      <c r="J9" t="e">
        <f>T_All_K1_N10_P10[[#This Row],[8]]</f>
        <v>#VALUE!</v>
      </c>
      <c r="L9" s="3" t="e">
        <f t="shared" si="0"/>
        <v>#VALUE!</v>
      </c>
    </row>
    <row r="10" spans="1:12" x14ac:dyDescent="0.25">
      <c r="A10" t="e">
        <f>T_All_K1_N10_P10[[#This Row],[Identifier]]</f>
        <v>#VALUE!</v>
      </c>
      <c r="B10" t="e">
        <f>T_All_K1_N10_P10[[#This Row],[0]]</f>
        <v>#VALUE!</v>
      </c>
      <c r="C10" t="e">
        <f>T_All_K1_N10_P10[[#This Row],[1]]</f>
        <v>#VALUE!</v>
      </c>
      <c r="D10" t="e">
        <f>T_All_K1_N10_P10[[#This Row],[2]]</f>
        <v>#VALUE!</v>
      </c>
      <c r="E10" t="e">
        <f>T_All_K1_N10_P10[[#This Row],[3]]</f>
        <v>#VALUE!</v>
      </c>
      <c r="F10" t="e">
        <f>T_All_K1_N10_P10[[#This Row],[4]]</f>
        <v>#VALUE!</v>
      </c>
      <c r="G10" t="e">
        <f>T_All_K1_N10_P10[[#This Row],[5]]</f>
        <v>#VALUE!</v>
      </c>
      <c r="H10" t="e">
        <f>T_All_K1_N10_P10[[#This Row],[6]]</f>
        <v>#VALUE!</v>
      </c>
      <c r="I10" t="e">
        <f>T_All_K1_N10_P10[[#This Row],[7]]</f>
        <v>#VALUE!</v>
      </c>
      <c r="J10" t="e">
        <f>T_All_K1_N10_P10[[#This Row],[8]]</f>
        <v>#VALUE!</v>
      </c>
      <c r="L10" s="3" t="e">
        <f t="shared" si="0"/>
        <v>#VALUE!</v>
      </c>
    </row>
    <row r="11" spans="1:12" x14ac:dyDescent="0.25">
      <c r="A11" t="e">
        <f>T_All_K1_N10_P10[[#This Row],[Identifier]]</f>
        <v>#VALUE!</v>
      </c>
      <c r="B11" t="e">
        <f>T_All_K1_N10_P10[[#This Row],[0]]</f>
        <v>#VALUE!</v>
      </c>
      <c r="C11" t="e">
        <f>T_All_K1_N10_P10[[#This Row],[1]]</f>
        <v>#VALUE!</v>
      </c>
      <c r="D11" t="e">
        <f>T_All_K1_N10_P10[[#This Row],[2]]</f>
        <v>#VALUE!</v>
      </c>
      <c r="E11" t="e">
        <f>T_All_K1_N10_P10[[#This Row],[3]]</f>
        <v>#VALUE!</v>
      </c>
      <c r="F11" t="e">
        <f>T_All_K1_N10_P10[[#This Row],[4]]</f>
        <v>#VALUE!</v>
      </c>
      <c r="G11" t="e">
        <f>T_All_K1_N10_P10[[#This Row],[5]]</f>
        <v>#VALUE!</v>
      </c>
      <c r="H11" t="e">
        <f>T_All_K1_N10_P10[[#This Row],[6]]</f>
        <v>#VALUE!</v>
      </c>
      <c r="I11" t="e">
        <f>T_All_K1_N10_P10[[#This Row],[7]]</f>
        <v>#VALUE!</v>
      </c>
      <c r="J11" t="e">
        <f>T_All_K1_N10_P10[[#This Row],[8]]</f>
        <v>#VALUE!</v>
      </c>
      <c r="L11" s="3" t="e">
        <f t="shared" si="0"/>
        <v>#VALUE!</v>
      </c>
    </row>
    <row r="14" spans="1:12" x14ac:dyDescent="0.25">
      <c r="K14" s="2" t="s">
        <v>16</v>
      </c>
      <c r="L14" s="3">
        <f>AVERAGE(L2:L4)</f>
        <v>1.6583601818746064E-2</v>
      </c>
    </row>
    <row r="15" spans="1:12" x14ac:dyDescent="0.25">
      <c r="L15" s="3"/>
    </row>
    <row r="16" spans="1:12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spans="1:12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6" t="s">
        <v>17</v>
      </c>
    </row>
    <row r="18" spans="1:12" x14ac:dyDescent="0.25">
      <c r="A18" s="6" t="s">
        <v>18</v>
      </c>
      <c r="B18" s="5">
        <f>AVERAGE(B2:B4)</f>
        <v>7.6070452181835897</v>
      </c>
      <c r="C18" s="5">
        <f t="shared" ref="C18:J18" si="1">AVERAGE(C2:C4)</f>
        <v>4.6074204064497541</v>
      </c>
      <c r="D18" s="5">
        <f t="shared" si="1"/>
        <v>5.475829732220082</v>
      </c>
      <c r="E18" s="5">
        <f t="shared" si="1"/>
        <v>5.9933676462036445</v>
      </c>
      <c r="F18" s="5">
        <f t="shared" si="1"/>
        <v>5.0658464074011835</v>
      </c>
      <c r="G18" s="5">
        <f t="shared" si="1"/>
        <v>5.3121110456116698</v>
      </c>
      <c r="H18" s="5">
        <f t="shared" si="1"/>
        <v>6.755203368880494</v>
      </c>
      <c r="I18" s="5">
        <f t="shared" si="1"/>
        <v>3.9055766558823612</v>
      </c>
      <c r="J18" s="5">
        <f t="shared" si="1"/>
        <v>6.6241919579628599</v>
      </c>
      <c r="K18" s="5"/>
      <c r="L18" s="5">
        <f>RSQ(B1:J1,B18:J18)</f>
        <v>2.693162788647684E-2</v>
      </c>
    </row>
  </sheetData>
  <conditionalFormatting sqref="L1:L1048576">
    <cfRule type="containsBlanks" dxfId="7" priority="1">
      <formula>LEN(TRIM(L1))=0</formula>
    </cfRule>
    <cfRule type="cellIs" dxfId="6" priority="2" operator="between">
      <formula>0</formula>
      <formula>0.1</formula>
    </cfRule>
    <cfRule type="cellIs" dxfId="5" priority="3" operator="greaterThan">
      <formula>0.2</formula>
    </cfRule>
    <cfRule type="cellIs" dxfId="4" priority="4" operator="between">
      <formula>0.1</formula>
      <formula>0.2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13FFE-1256-4A00-AF3F-70013C27B583}">
  <dimension ref="A1:L18"/>
  <sheetViews>
    <sheetView tabSelected="1" zoomScale="85" zoomScaleNormal="85" workbookViewId="0">
      <selection activeCell="J38" sqref="J38"/>
    </sheetView>
  </sheetViews>
  <sheetFormatPr defaultRowHeight="15" x14ac:dyDescent="0.25"/>
  <cols>
    <col min="1" max="1" width="67.5703125" bestFit="1" customWidth="1"/>
    <col min="11" max="11" width="10.7109375" customWidth="1"/>
  </cols>
  <sheetData>
    <row r="1" spans="1:12" x14ac:dyDescent="0.25">
      <c r="A1" s="2" t="s">
        <v>19</v>
      </c>
      <c r="B1" s="2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K1" s="2" t="s">
        <v>28</v>
      </c>
      <c r="L1" s="2" t="s">
        <v>29</v>
      </c>
    </row>
    <row r="2" spans="1:12" x14ac:dyDescent="0.25">
      <c r="A2" t="str">
        <f>T_All_K1_N10_P10[[#This Row],[Identifier]]</f>
        <v>d25aa1037abc0ee33ddf41d15dc8098b5dab31e232686a7a8490057d92d238a8</v>
      </c>
      <c r="B2">
        <f>(T_All_K1_N10_P10[[#This Row],[1]]-T_All_K1_N10_P10[[#This Row],[0]])/(ABS(T_All_K1_N10_P10[[#This Row],[0]]))</f>
        <v>-0.24888631378367326</v>
      </c>
      <c r="C2">
        <f>(T_All_K1_N10_P10[[#This Row],[2]]-T_All_K1_N10_P10[[#This Row],[1]])/(ABS(T_All_K1_N10_P10[[#This Row],[1]]))</f>
        <v>-7.6080107054051091E-2</v>
      </c>
      <c r="D2">
        <f>(T_All_K1_N10_P10[[#This Row],[3]]-T_All_K1_N10_P10[[#This Row],[2]])/(ABS(T_All_K1_N10_P10[[#This Row],[2]]))</f>
        <v>-9.4825202415512955E-2</v>
      </c>
      <c r="E2">
        <f>(T_All_K1_N10_P10[[#This Row],[4]]-T_All_K1_N10_P10[[#This Row],[3]])/(ABS(T_All_K1_N10_P10[[#This Row],[3]]))</f>
        <v>0.24557784562448776</v>
      </c>
      <c r="F2">
        <f>(T_All_K1_N10_P10[[#This Row],[5]]-T_All_K1_N10_P10[[#This Row],[4]])/(ABS(T_All_K1_N10_P10[[#This Row],[4]]))</f>
        <v>0.11832997746362552</v>
      </c>
      <c r="G2">
        <f>(T_All_K1_N10_P10[[#This Row],[6]]-T_All_K1_N10_P10[[#This Row],[5]])/(ABS(T_All_K1_N10_P10[[#This Row],[5]]))</f>
        <v>-3.4797381867223108E-2</v>
      </c>
      <c r="H2">
        <f>(T_All_K1_N10_P10[[#This Row],[7]]-T_All_K1_N10_P10[[#This Row],[6]])/(ABS(T_All_K1_N10_P10[[#This Row],[6]]))</f>
        <v>-0.3594779367271182</v>
      </c>
      <c r="I2">
        <f>(T_All_K1_N10_P10[[#This Row],[8]]-T_All_K1_N10_P10[[#This Row],[7]])/(ABS(T_All_K1_N10_P10[[#This Row],[7]]))</f>
        <v>0.65158197371510962</v>
      </c>
      <c r="K2">
        <f t="shared" ref="K2:K10" si="0">AVERAGE(B2:I2)</f>
        <v>2.5177856869455534E-2</v>
      </c>
      <c r="L2">
        <f>(T_All_K1_N10_P10[[#This Row],[8]]-T_All_K1_N10_P10[[#This Row],[0]])/ABS(T_All_K1_N10_P10[[#This Row],[0]])</f>
        <v>-0.10655873336390893</v>
      </c>
    </row>
    <row r="3" spans="1:12" x14ac:dyDescent="0.25">
      <c r="A3" t="str">
        <f>T_All_K1_N10_P10[[#This Row],[Identifier]]</f>
        <v>2717b7cd07b3492daa233fba3b311ad11022633fc6887c63a275c09f741c88ad</v>
      </c>
      <c r="B3">
        <f>(T_All_K1_N10_P10[[#This Row],[1]]-T_All_K1_N10_P10[[#This Row],[0]])/(ABS(T_All_K1_N10_P10[[#This Row],[0]]))</f>
        <v>-0.46060528715079846</v>
      </c>
      <c r="C3">
        <f>(T_All_K1_N10_P10[[#This Row],[2]]-T_All_K1_N10_P10[[#This Row],[1]])/(ABS(T_All_K1_N10_P10[[#This Row],[1]]))</f>
        <v>0.44819695684567251</v>
      </c>
      <c r="D3">
        <f>(T_All_K1_N10_P10[[#This Row],[3]]-T_All_K1_N10_P10[[#This Row],[2]])/(ABS(T_All_K1_N10_P10[[#This Row],[2]]))</f>
        <v>-0.24239799520539057</v>
      </c>
      <c r="E3">
        <f>(T_All_K1_N10_P10[[#This Row],[4]]-T_All_K1_N10_P10[[#This Row],[3]])/(ABS(T_All_K1_N10_P10[[#This Row],[3]]))</f>
        <v>-0.39894988809726589</v>
      </c>
      <c r="F3">
        <f>(T_All_K1_N10_P10[[#This Row],[5]]-T_All_K1_N10_P10[[#This Row],[4]])/(ABS(T_All_K1_N10_P10[[#This Row],[4]]))</f>
        <v>-0.13454030862878852</v>
      </c>
      <c r="G3">
        <f>(T_All_K1_N10_P10[[#This Row],[6]]-T_All_K1_N10_P10[[#This Row],[5]])/(ABS(T_All_K1_N10_P10[[#This Row],[5]]))</f>
        <v>1.3599890576244169</v>
      </c>
      <c r="H3">
        <f>(T_All_K1_N10_P10[[#This Row],[7]]-T_All_K1_N10_P10[[#This Row],[6]])/(ABS(T_All_K1_N10_P10[[#This Row],[6]]))</f>
        <v>-0.25264717318367363</v>
      </c>
      <c r="I3">
        <f>(T_All_K1_N10_P10[[#This Row],[8]]-T_All_K1_N10_P10[[#This Row],[7]])/(ABS(T_All_K1_N10_P10[[#This Row],[7]]))</f>
        <v>0.7788847794183994</v>
      </c>
      <c r="K3">
        <f t="shared" si="0"/>
        <v>0.13724126770282147</v>
      </c>
      <c r="L3">
        <f>(T_All_K1_N10_P10[[#This Row],[8]]-T_All_K1_N10_P10[[#This Row],[0]])/ABS(T_All_K1_N10_P10[[#This Row],[0]])</f>
        <v>-3.4134955451075394E-2</v>
      </c>
    </row>
    <row r="4" spans="1:12" x14ac:dyDescent="0.25">
      <c r="A4" t="str">
        <f>T_All_K1_N10_P10[[#This Row],[Identifier]]</f>
        <v>9b563802ec83c693bed1ac3dc42c6e4b8015c6a100b0f60b7f0790385e7c0666</v>
      </c>
      <c r="B4">
        <f>(T_All_K1_N10_P10[[#This Row],[1]]-T_All_K1_N10_P10[[#This Row],[0]])/(ABS(T_All_K1_N10_P10[[#This Row],[0]]))</f>
        <v>-0.47610614057398593</v>
      </c>
      <c r="C4">
        <f>(T_All_K1_N10_P10[[#This Row],[2]]-T_All_K1_N10_P10[[#This Row],[1]])/(ABS(T_All_K1_N10_P10[[#This Row],[1]]))</f>
        <v>0.31110016247295275</v>
      </c>
      <c r="D4">
        <f>(T_All_K1_N10_P10[[#This Row],[3]]-T_All_K1_N10_P10[[#This Row],[2]])/(ABS(T_All_K1_N10_P10[[#This Row],[2]]))</f>
        <v>0.65325440063615881</v>
      </c>
      <c r="E4">
        <f>(T_All_K1_N10_P10[[#This Row],[4]]-T_All_K1_N10_P10[[#This Row],[3]])/(ABS(T_All_K1_N10_P10[[#This Row],[3]]))</f>
        <v>-0.25403079503122217</v>
      </c>
      <c r="F4">
        <f>(T_All_K1_N10_P10[[#This Row],[5]]-T_All_K1_N10_P10[[#This Row],[4]])/(ABS(T_All_K1_N10_P10[[#This Row],[4]]))</f>
        <v>5.8021799403416771E-2</v>
      </c>
      <c r="G4">
        <f>(T_All_K1_N10_P10[[#This Row],[6]]-T_All_K1_N10_P10[[#This Row],[5]])/(ABS(T_All_K1_N10_P10[[#This Row],[5]]))</f>
        <v>0.21212673329612833</v>
      </c>
      <c r="H4">
        <f>(T_All_K1_N10_P10[[#This Row],[7]]-T_All_K1_N10_P10[[#This Row],[6]])/(ABS(T_All_K1_N10_P10[[#This Row],[6]]))</f>
        <v>-0.57883835894422653</v>
      </c>
      <c r="I4">
        <f>(T_All_K1_N10_P10[[#This Row],[8]]-T_All_K1_N10_P10[[#This Row],[7]])/(ABS(T_All_K1_N10_P10[[#This Row],[7]]))</f>
        <v>0.6544245962334907</v>
      </c>
      <c r="K4">
        <f t="shared" si="0"/>
        <v>7.2494049686589096E-2</v>
      </c>
      <c r="L4">
        <f>(T_All_K1_N10_P10[[#This Row],[8]]-T_All_K1_N10_P10[[#This Row],[0]])/ABS(T_All_K1_N10_P10[[#This Row],[0]])</f>
        <v>-0.24303081753463657</v>
      </c>
    </row>
    <row r="5" spans="1:12" x14ac:dyDescent="0.25">
      <c r="A5" t="e">
        <f>T_All_K1_N10_P10[[#This Row],[Identifier]]</f>
        <v>#VALUE!</v>
      </c>
      <c r="B5" t="e">
        <f>(T_All_K1_N10_P10[[#This Row],[1]]-T_All_K1_N10_P10[[#This Row],[0]])/(ABS(T_All_K1_N10_P10[[#This Row],[0]]))</f>
        <v>#VALUE!</v>
      </c>
      <c r="C5" t="e">
        <f>(T_All_K1_N10_P10[[#This Row],[2]]-T_All_K1_N10_P10[[#This Row],[1]])/(ABS(T_All_K1_N10_P10[[#This Row],[1]]))</f>
        <v>#VALUE!</v>
      </c>
      <c r="D5" t="e">
        <f>(T_All_K1_N10_P10[[#This Row],[3]]-T_All_K1_N10_P10[[#This Row],[2]])/(ABS(T_All_K1_N10_P10[[#This Row],[2]]))</f>
        <v>#VALUE!</v>
      </c>
      <c r="E5" t="e">
        <f>(T_All_K1_N10_P10[[#This Row],[4]]-T_All_K1_N10_P10[[#This Row],[3]])/(ABS(T_All_K1_N10_P10[[#This Row],[3]]))</f>
        <v>#VALUE!</v>
      </c>
      <c r="F5" t="e">
        <f>(T_All_K1_N10_P10[[#This Row],[5]]-T_All_K1_N10_P10[[#This Row],[4]])/(ABS(T_All_K1_N10_P10[[#This Row],[4]]))</f>
        <v>#VALUE!</v>
      </c>
      <c r="G5" t="e">
        <f>(T_All_K1_N10_P10[[#This Row],[6]]-T_All_K1_N10_P10[[#This Row],[5]])/(ABS(T_All_K1_N10_P10[[#This Row],[5]]))</f>
        <v>#VALUE!</v>
      </c>
      <c r="H5" t="e">
        <f>(T_All_K1_N10_P10[[#This Row],[7]]-T_All_K1_N10_P10[[#This Row],[6]])/(ABS(T_All_K1_N10_P10[[#This Row],[6]]))</f>
        <v>#VALUE!</v>
      </c>
      <c r="I5" t="e">
        <f>(T_All_K1_N10_P10[[#This Row],[8]]-T_All_K1_N10_P10[[#This Row],[7]])/(ABS(T_All_K1_N10_P10[[#This Row],[7]]))</f>
        <v>#VALUE!</v>
      </c>
      <c r="K5" t="e">
        <f t="shared" si="0"/>
        <v>#VALUE!</v>
      </c>
      <c r="L5" t="e">
        <f>(T_All_K1_N10_P10[[#This Row],[8]]-T_All_K1_N10_P10[[#This Row],[0]])/ABS(T_All_K1_N10_P10[[#This Row],[0]])</f>
        <v>#VALUE!</v>
      </c>
    </row>
    <row r="6" spans="1:12" x14ac:dyDescent="0.25">
      <c r="A6" t="e">
        <f>T_All_K1_N10_P10[[#This Row],[Identifier]]</f>
        <v>#VALUE!</v>
      </c>
      <c r="B6" t="e">
        <f>(T_All_K1_N10_P10[[#This Row],[1]]-T_All_K1_N10_P10[[#This Row],[0]])/(ABS(T_All_K1_N10_P10[[#This Row],[0]]))</f>
        <v>#VALUE!</v>
      </c>
      <c r="C6" t="e">
        <f>(T_All_K1_N10_P10[[#This Row],[2]]-T_All_K1_N10_P10[[#This Row],[1]])/(ABS(T_All_K1_N10_P10[[#This Row],[1]]))</f>
        <v>#VALUE!</v>
      </c>
      <c r="D6" t="e">
        <f>(T_All_K1_N10_P10[[#This Row],[3]]-T_All_K1_N10_P10[[#This Row],[2]])/(ABS(T_All_K1_N10_P10[[#This Row],[2]]))</f>
        <v>#VALUE!</v>
      </c>
      <c r="E6" t="e">
        <f>(T_All_K1_N10_P10[[#This Row],[4]]-T_All_K1_N10_P10[[#This Row],[3]])/(ABS(T_All_K1_N10_P10[[#This Row],[3]]))</f>
        <v>#VALUE!</v>
      </c>
      <c r="F6" t="e">
        <f>(T_All_K1_N10_P10[[#This Row],[5]]-T_All_K1_N10_P10[[#This Row],[4]])/(ABS(T_All_K1_N10_P10[[#This Row],[4]]))</f>
        <v>#VALUE!</v>
      </c>
      <c r="G6" t="e">
        <f>(T_All_K1_N10_P10[[#This Row],[6]]-T_All_K1_N10_P10[[#This Row],[5]])/(ABS(T_All_K1_N10_P10[[#This Row],[5]]))</f>
        <v>#VALUE!</v>
      </c>
      <c r="H6" t="e">
        <f>(T_All_K1_N10_P10[[#This Row],[7]]-T_All_K1_N10_P10[[#This Row],[6]])/(ABS(T_All_K1_N10_P10[[#This Row],[6]]))</f>
        <v>#VALUE!</v>
      </c>
      <c r="I6" t="e">
        <f>(T_All_K1_N10_P10[[#This Row],[8]]-T_All_K1_N10_P10[[#This Row],[7]])/(ABS(T_All_K1_N10_P10[[#This Row],[7]]))</f>
        <v>#VALUE!</v>
      </c>
      <c r="K6" t="e">
        <f t="shared" si="0"/>
        <v>#VALUE!</v>
      </c>
      <c r="L6" t="e">
        <f>(T_All_K1_N10_P10[[#This Row],[8]]-T_All_K1_N10_P10[[#This Row],[0]])/ABS(T_All_K1_N10_P10[[#This Row],[0]])</f>
        <v>#VALUE!</v>
      </c>
    </row>
    <row r="7" spans="1:12" x14ac:dyDescent="0.25">
      <c r="A7" t="e">
        <f>T_All_K1_N10_P10[[#This Row],[Identifier]]</f>
        <v>#VALUE!</v>
      </c>
      <c r="B7" t="e">
        <f>(T_All_K1_N10_P10[[#This Row],[1]]-T_All_K1_N10_P10[[#This Row],[0]])/(ABS(T_All_K1_N10_P10[[#This Row],[0]]))</f>
        <v>#VALUE!</v>
      </c>
      <c r="C7" t="e">
        <f>(T_All_K1_N10_P10[[#This Row],[2]]-T_All_K1_N10_P10[[#This Row],[1]])/(ABS(T_All_K1_N10_P10[[#This Row],[1]]))</f>
        <v>#VALUE!</v>
      </c>
      <c r="D7" t="e">
        <f>(T_All_K1_N10_P10[[#This Row],[3]]-T_All_K1_N10_P10[[#This Row],[2]])/(ABS(T_All_K1_N10_P10[[#This Row],[2]]))</f>
        <v>#VALUE!</v>
      </c>
      <c r="E7" t="e">
        <f>(T_All_K1_N10_P10[[#This Row],[4]]-T_All_K1_N10_P10[[#This Row],[3]])/(ABS(T_All_K1_N10_P10[[#This Row],[3]]))</f>
        <v>#VALUE!</v>
      </c>
      <c r="F7" t="e">
        <f>(T_All_K1_N10_P10[[#This Row],[5]]-T_All_K1_N10_P10[[#This Row],[4]])/(ABS(T_All_K1_N10_P10[[#This Row],[4]]))</f>
        <v>#VALUE!</v>
      </c>
      <c r="G7" t="e">
        <f>(T_All_K1_N10_P10[[#This Row],[6]]-T_All_K1_N10_P10[[#This Row],[5]])/(ABS(T_All_K1_N10_P10[[#This Row],[5]]))</f>
        <v>#VALUE!</v>
      </c>
      <c r="H7" t="e">
        <f>(T_All_K1_N10_P10[[#This Row],[7]]-T_All_K1_N10_P10[[#This Row],[6]])/(ABS(T_All_K1_N10_P10[[#This Row],[6]]))</f>
        <v>#VALUE!</v>
      </c>
      <c r="I7" t="e">
        <f>(T_All_K1_N10_P10[[#This Row],[8]]-T_All_K1_N10_P10[[#This Row],[7]])/(ABS(T_All_K1_N10_P10[[#This Row],[7]]))</f>
        <v>#VALUE!</v>
      </c>
      <c r="K7" t="e">
        <f t="shared" si="0"/>
        <v>#VALUE!</v>
      </c>
      <c r="L7" t="e">
        <f>(T_All_K1_N10_P10[[#This Row],[8]]-T_All_K1_N10_P10[[#This Row],[0]])/ABS(T_All_K1_N10_P10[[#This Row],[0]])</f>
        <v>#VALUE!</v>
      </c>
    </row>
    <row r="8" spans="1:12" x14ac:dyDescent="0.25">
      <c r="A8" t="e">
        <f>T_All_K1_N10_P10[[#This Row],[Identifier]]</f>
        <v>#VALUE!</v>
      </c>
      <c r="B8" t="e">
        <f>(T_All_K1_N10_P10[[#This Row],[1]]-T_All_K1_N10_P10[[#This Row],[0]])/(ABS(T_All_K1_N10_P10[[#This Row],[0]]))</f>
        <v>#VALUE!</v>
      </c>
      <c r="C8" t="e">
        <f>(T_All_K1_N10_P10[[#This Row],[2]]-T_All_K1_N10_P10[[#This Row],[1]])/(ABS(T_All_K1_N10_P10[[#This Row],[1]]))</f>
        <v>#VALUE!</v>
      </c>
      <c r="D8" t="e">
        <f>(T_All_K1_N10_P10[[#This Row],[3]]-T_All_K1_N10_P10[[#This Row],[2]])/(ABS(T_All_K1_N10_P10[[#This Row],[2]]))</f>
        <v>#VALUE!</v>
      </c>
      <c r="E8" t="e">
        <f>(T_All_K1_N10_P10[[#This Row],[4]]-T_All_K1_N10_P10[[#This Row],[3]])/(ABS(T_All_K1_N10_P10[[#This Row],[3]]))</f>
        <v>#VALUE!</v>
      </c>
      <c r="F8" t="e">
        <f>(T_All_K1_N10_P10[[#This Row],[5]]-T_All_K1_N10_P10[[#This Row],[4]])/(ABS(T_All_K1_N10_P10[[#This Row],[4]]))</f>
        <v>#VALUE!</v>
      </c>
      <c r="G8" t="e">
        <f>(T_All_K1_N10_P10[[#This Row],[6]]-T_All_K1_N10_P10[[#This Row],[5]])/(ABS(T_All_K1_N10_P10[[#This Row],[5]]))</f>
        <v>#VALUE!</v>
      </c>
      <c r="H8" t="e">
        <f>(T_All_K1_N10_P10[[#This Row],[7]]-T_All_K1_N10_P10[[#This Row],[6]])/(ABS(T_All_K1_N10_P10[[#This Row],[6]]))</f>
        <v>#VALUE!</v>
      </c>
      <c r="I8" t="e">
        <f>(T_All_K1_N10_P10[[#This Row],[8]]-T_All_K1_N10_P10[[#This Row],[7]])/(ABS(T_All_K1_N10_P10[[#This Row],[7]]))</f>
        <v>#VALUE!</v>
      </c>
      <c r="K8" t="e">
        <f t="shared" si="0"/>
        <v>#VALUE!</v>
      </c>
      <c r="L8" t="e">
        <f>(T_All_K1_N10_P10[[#This Row],[8]]-T_All_K1_N10_P10[[#This Row],[0]])/ABS(T_All_K1_N10_P10[[#This Row],[0]])</f>
        <v>#VALUE!</v>
      </c>
    </row>
    <row r="9" spans="1:12" x14ac:dyDescent="0.25">
      <c r="A9" t="e">
        <f>T_All_K1_N10_P10[[#This Row],[Identifier]]</f>
        <v>#VALUE!</v>
      </c>
      <c r="B9" t="e">
        <f>(T_All_K1_N10_P10[[#This Row],[1]]-T_All_K1_N10_P10[[#This Row],[0]])/(ABS(T_All_K1_N10_P10[[#This Row],[0]]))</f>
        <v>#VALUE!</v>
      </c>
      <c r="C9" t="e">
        <f>(T_All_K1_N10_P10[[#This Row],[2]]-T_All_K1_N10_P10[[#This Row],[1]])/(ABS(T_All_K1_N10_P10[[#This Row],[1]]))</f>
        <v>#VALUE!</v>
      </c>
      <c r="D9" t="e">
        <f>(T_All_K1_N10_P10[[#This Row],[3]]-T_All_K1_N10_P10[[#This Row],[2]])/(ABS(T_All_K1_N10_P10[[#This Row],[2]]))</f>
        <v>#VALUE!</v>
      </c>
      <c r="E9" t="e">
        <f>(T_All_K1_N10_P10[[#This Row],[4]]-T_All_K1_N10_P10[[#This Row],[3]])/(ABS(T_All_K1_N10_P10[[#This Row],[3]]))</f>
        <v>#VALUE!</v>
      </c>
      <c r="F9" t="e">
        <f>(T_All_K1_N10_P10[[#This Row],[5]]-T_All_K1_N10_P10[[#This Row],[4]])/(ABS(T_All_K1_N10_P10[[#This Row],[4]]))</f>
        <v>#VALUE!</v>
      </c>
      <c r="G9" t="e">
        <f>(T_All_K1_N10_P10[[#This Row],[6]]-T_All_K1_N10_P10[[#This Row],[5]])/(ABS(T_All_K1_N10_P10[[#This Row],[5]]))</f>
        <v>#VALUE!</v>
      </c>
      <c r="H9" t="e">
        <f>(T_All_K1_N10_P10[[#This Row],[7]]-T_All_K1_N10_P10[[#This Row],[6]])/(ABS(T_All_K1_N10_P10[[#This Row],[6]]))</f>
        <v>#VALUE!</v>
      </c>
      <c r="I9" t="e">
        <f>(T_All_K1_N10_P10[[#This Row],[8]]-T_All_K1_N10_P10[[#This Row],[7]])/(ABS(T_All_K1_N10_P10[[#This Row],[7]]))</f>
        <v>#VALUE!</v>
      </c>
      <c r="K9" t="e">
        <f t="shared" si="0"/>
        <v>#VALUE!</v>
      </c>
      <c r="L9" t="e">
        <f>(T_All_K1_N10_P10[[#This Row],[8]]-T_All_K1_N10_P10[[#This Row],[0]])/ABS(T_All_K1_N10_P10[[#This Row],[0]])</f>
        <v>#VALUE!</v>
      </c>
    </row>
    <row r="10" spans="1:12" x14ac:dyDescent="0.25">
      <c r="A10" t="e">
        <f>T_All_K1_N10_P10[[#This Row],[Identifier]]</f>
        <v>#VALUE!</v>
      </c>
      <c r="B10" t="e">
        <f>(T_All_K1_N10_P10[[#This Row],[1]]-T_All_K1_N10_P10[[#This Row],[0]])/(ABS(T_All_K1_N10_P10[[#This Row],[0]]))</f>
        <v>#VALUE!</v>
      </c>
      <c r="C10" t="e">
        <f>(T_All_K1_N10_P10[[#This Row],[2]]-T_All_K1_N10_P10[[#This Row],[1]])/(ABS(T_All_K1_N10_P10[[#This Row],[1]]))</f>
        <v>#VALUE!</v>
      </c>
      <c r="D10" t="e">
        <f>(T_All_K1_N10_P10[[#This Row],[3]]-T_All_K1_N10_P10[[#This Row],[2]])/(ABS(T_All_K1_N10_P10[[#This Row],[2]]))</f>
        <v>#VALUE!</v>
      </c>
      <c r="E10" t="e">
        <f>(T_All_K1_N10_P10[[#This Row],[4]]-T_All_K1_N10_P10[[#This Row],[3]])/(ABS(T_All_K1_N10_P10[[#This Row],[3]]))</f>
        <v>#VALUE!</v>
      </c>
      <c r="F10" t="e">
        <f>(T_All_K1_N10_P10[[#This Row],[5]]-T_All_K1_N10_P10[[#This Row],[4]])/(ABS(T_All_K1_N10_P10[[#This Row],[4]]))</f>
        <v>#VALUE!</v>
      </c>
      <c r="G10" t="e">
        <f>(T_All_K1_N10_P10[[#This Row],[6]]-T_All_K1_N10_P10[[#This Row],[5]])/(ABS(T_All_K1_N10_P10[[#This Row],[5]]))</f>
        <v>#VALUE!</v>
      </c>
      <c r="H10" t="e">
        <f>(T_All_K1_N10_P10[[#This Row],[7]]-T_All_K1_N10_P10[[#This Row],[6]])/(ABS(T_All_K1_N10_P10[[#This Row],[6]]))</f>
        <v>#VALUE!</v>
      </c>
      <c r="I10" t="e">
        <f>(T_All_K1_N10_P10[[#This Row],[8]]-T_All_K1_N10_P10[[#This Row],[7]])/(ABS(T_All_K1_N10_P10[[#This Row],[7]]))</f>
        <v>#VALUE!</v>
      </c>
      <c r="K10" t="e">
        <f t="shared" si="0"/>
        <v>#VALUE!</v>
      </c>
      <c r="L10" t="e">
        <f>(T_All_K1_N10_P10[[#This Row],[8]]-T_All_K1_N10_P10[[#This Row],[0]])/ABS(T_All_K1_N10_P10[[#This Row],[0]])</f>
        <v>#VALUE!</v>
      </c>
    </row>
    <row r="11" spans="1:12" x14ac:dyDescent="0.25">
      <c r="A11" t="e">
        <f>T_All_K1_N10_P10[[#This Row],[Identifier]]</f>
        <v>#VALUE!</v>
      </c>
      <c r="B11" t="e">
        <f>(T_All_K1_N10_P10[[#This Row],[1]]-T_All_K1_N10_P10[[#This Row],[0]])/(ABS(T_All_K1_N10_P10[[#This Row],[0]]))</f>
        <v>#VALUE!</v>
      </c>
      <c r="C11" t="e">
        <f>(T_All_K1_N10_P10[[#This Row],[2]]-T_All_K1_N10_P10[[#This Row],[1]])/(ABS(T_All_K1_N10_P10[[#This Row],[1]]))</f>
        <v>#VALUE!</v>
      </c>
      <c r="D11" t="e">
        <f>(T_All_K1_N10_P10[[#This Row],[3]]-T_All_K1_N10_P10[[#This Row],[2]])/(ABS(T_All_K1_N10_P10[[#This Row],[2]]))</f>
        <v>#VALUE!</v>
      </c>
      <c r="E11" t="e">
        <f>(T_All_K1_N10_P10[[#This Row],[4]]-T_All_K1_N10_P10[[#This Row],[3]])/(ABS(T_All_K1_N10_P10[[#This Row],[3]]))</f>
        <v>#VALUE!</v>
      </c>
      <c r="F11" t="e">
        <f>(T_All_K1_N10_P10[[#This Row],[5]]-T_All_K1_N10_P10[[#This Row],[4]])/(ABS(T_All_K1_N10_P10[[#This Row],[4]]))</f>
        <v>#VALUE!</v>
      </c>
      <c r="G11" t="e">
        <f>(T_All_K1_N10_P10[[#This Row],[6]]-T_All_K1_N10_P10[[#This Row],[5]])/(ABS(T_All_K1_N10_P10[[#This Row],[5]]))</f>
        <v>#VALUE!</v>
      </c>
      <c r="H11" t="e">
        <f>(T_All_K1_N10_P10[[#This Row],[7]]-T_All_K1_N10_P10[[#This Row],[6]])/(ABS(T_All_K1_N10_P10[[#This Row],[6]]))</f>
        <v>#VALUE!</v>
      </c>
      <c r="I11" t="e">
        <f>(T_All_K1_N10_P10[[#This Row],[8]]-T_All_K1_N10_P10[[#This Row],[7]])/(ABS(T_All_K1_N10_P10[[#This Row],[7]]))</f>
        <v>#VALUE!</v>
      </c>
      <c r="K11" t="e">
        <f>AVERAGE(B11:I11)</f>
        <v>#VALUE!</v>
      </c>
      <c r="L11" t="e">
        <f>(T_All_K1_N10_P10[[#This Row],[8]]-T_All_K1_N10_P10[[#This Row],[0]])/ABS(T_All_K1_N10_P10[[#This Row],[0]])</f>
        <v>#VALUE!</v>
      </c>
    </row>
    <row r="14" spans="1:12" x14ac:dyDescent="0.25">
      <c r="J14" s="2" t="s">
        <v>28</v>
      </c>
      <c r="K14">
        <f>AVERAGE(K2:K4)</f>
        <v>7.8304391419622033E-2</v>
      </c>
      <c r="L14">
        <f>AVERAGE(L2:L4)</f>
        <v>-0.12790816878320696</v>
      </c>
    </row>
    <row r="17" spans="1:12" x14ac:dyDescent="0.25">
      <c r="A17" s="5"/>
      <c r="B17" s="6" t="s">
        <v>20</v>
      </c>
      <c r="C17" s="7" t="s">
        <v>21</v>
      </c>
      <c r="D17" s="7" t="s">
        <v>22</v>
      </c>
      <c r="E17" s="7" t="s">
        <v>23</v>
      </c>
      <c r="F17" s="7" t="s">
        <v>24</v>
      </c>
      <c r="G17" s="7" t="s">
        <v>25</v>
      </c>
      <c r="H17" s="7" t="s">
        <v>26</v>
      </c>
      <c r="I17" s="7" t="s">
        <v>27</v>
      </c>
      <c r="J17" s="5"/>
      <c r="K17" s="6" t="s">
        <v>28</v>
      </c>
      <c r="L17" s="6" t="s">
        <v>29</v>
      </c>
    </row>
    <row r="18" spans="1:12" x14ac:dyDescent="0.25">
      <c r="A18" s="5" t="s">
        <v>28</v>
      </c>
      <c r="B18" s="5">
        <f>AVERAGE(B2:B4)</f>
        <v>-0.3951992471694859</v>
      </c>
      <c r="C18" s="5">
        <f t="shared" ref="C18:I18" si="1">AVERAGE(C2:C4)</f>
        <v>0.22773900408819139</v>
      </c>
      <c r="D18" s="5">
        <f t="shared" si="1"/>
        <v>0.10534373433841843</v>
      </c>
      <c r="E18" s="5">
        <f t="shared" si="1"/>
        <v>-0.13580094583466676</v>
      </c>
      <c r="F18" s="5">
        <f t="shared" si="1"/>
        <v>1.3937156079417923E-2</v>
      </c>
      <c r="G18" s="5">
        <f t="shared" si="1"/>
        <v>0.51243946968444065</v>
      </c>
      <c r="H18" s="5">
        <f t="shared" si="1"/>
        <v>-0.39698782295167279</v>
      </c>
      <c r="I18" s="5">
        <f t="shared" si="1"/>
        <v>0.6949637831223332</v>
      </c>
      <c r="J18" s="5"/>
      <c r="K18" s="5">
        <f>AVERAGE(B18:I18)</f>
        <v>7.8304391419622019E-2</v>
      </c>
      <c r="L18" s="5">
        <f>(I18-B18)/(ABS(B18))</f>
        <v>2.7585149468270358</v>
      </c>
    </row>
  </sheetData>
  <conditionalFormatting sqref="A18:XFD18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K1:L104857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4D51C3-8CFE-47D2-A4AC-BD8108A6BE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T-All_K1 N10 P10</vt:lpstr>
      <vt:lpstr>R Squared</vt:lpstr>
      <vt:lpstr>Relative Change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Theresa Sobb</dc:creator>
  <cp:lastModifiedBy>Theresa Sobb</cp:lastModifiedBy>
  <dcterms:created xsi:type="dcterms:W3CDTF">2025-12-02T03:21:50Z</dcterms:created>
  <dcterms:modified xsi:type="dcterms:W3CDTF">2025-12-03T23:43:08Z</dcterms:modified>
</cp:coreProperties>
</file>