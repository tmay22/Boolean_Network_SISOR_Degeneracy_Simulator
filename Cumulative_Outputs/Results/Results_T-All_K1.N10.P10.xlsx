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1F7FB7C0-E177-40E8-A658-5A4264EB4D4A}" xr6:coauthVersionLast="47" xr6:coauthVersionMax="47" xr10:uidLastSave="{00000000-0000-0000-0000-000000000000}"/>
  <bookViews>
    <workbookView xWindow="-120" yWindow="-120" windowWidth="38640" windowHeight="21240" xr2:uid="{5CF18307-C3AA-4F8D-B283-B3AED6997DE3}"/>
  </bookViews>
  <sheets>
    <sheet name="T-All_K1 N10 P10" sheetId="2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P10'!$A$1:$L$11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14" i="3"/>
  <c r="C18" i="3"/>
  <c r="D18" i="3"/>
  <c r="E18" i="3"/>
  <c r="F18" i="3"/>
  <c r="G18" i="3"/>
  <c r="H18" i="3"/>
  <c r="I18" i="3"/>
  <c r="B18" i="3"/>
  <c r="L14" i="1"/>
  <c r="C18" i="1"/>
  <c r="D18" i="1"/>
  <c r="E18" i="1"/>
  <c r="F18" i="1"/>
  <c r="G18" i="1"/>
  <c r="H18" i="1"/>
  <c r="I18" i="1"/>
  <c r="J18" i="1"/>
  <c r="B18" i="1"/>
  <c r="L3" i="3" l="1"/>
  <c r="L4" i="3"/>
  <c r="L5" i="3"/>
  <c r="L6" i="3"/>
  <c r="L7" i="3"/>
  <c r="L8" i="3"/>
  <c r="L9" i="3"/>
  <c r="L10" i="3"/>
  <c r="L11" i="3"/>
  <c r="L2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B4" i="3"/>
  <c r="C4" i="3"/>
  <c r="D4" i="3"/>
  <c r="E4" i="3"/>
  <c r="F4" i="3"/>
  <c r="G4" i="3"/>
  <c r="H4" i="3"/>
  <c r="I4" i="3"/>
  <c r="C3" i="3"/>
  <c r="D3" i="3"/>
  <c r="E3" i="3"/>
  <c r="F3" i="3"/>
  <c r="G3" i="3"/>
  <c r="H3" i="3"/>
  <c r="I3" i="3"/>
  <c r="B3" i="3"/>
  <c r="C2" i="3"/>
  <c r="D2" i="3"/>
  <c r="E2" i="3"/>
  <c r="F2" i="3"/>
  <c r="G2" i="3"/>
  <c r="H2" i="3"/>
  <c r="I2" i="3"/>
  <c r="B2" i="3"/>
  <c r="A3" i="3"/>
  <c r="A4" i="3"/>
  <c r="A5" i="3"/>
  <c r="A6" i="3"/>
  <c r="A7" i="3"/>
  <c r="A8" i="3"/>
  <c r="A9" i="3"/>
  <c r="A10" i="3"/>
  <c r="A11" i="3"/>
  <c r="A2" i="3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B2" i="1"/>
  <c r="C2" i="1"/>
  <c r="D2" i="1"/>
  <c r="E2" i="1"/>
  <c r="F2" i="1"/>
  <c r="G2" i="1"/>
  <c r="H2" i="1"/>
  <c r="I2" i="1"/>
  <c r="J2" i="1"/>
  <c r="A2" i="1"/>
  <c r="L10" i="1" l="1"/>
  <c r="K9" i="3"/>
  <c r="K10" i="3"/>
  <c r="L11" i="1"/>
  <c r="K11" i="3"/>
  <c r="L9" i="1"/>
  <c r="K2" i="3"/>
  <c r="L5" i="1"/>
  <c r="L7" i="1"/>
  <c r="K7" i="3"/>
  <c r="K8" i="3"/>
  <c r="L6" i="1"/>
  <c r="K4" i="3"/>
  <c r="K6" i="3"/>
  <c r="K5" i="3"/>
  <c r="L3" i="1"/>
  <c r="L8" i="1"/>
  <c r="L4" i="1"/>
  <c r="K3" i="3"/>
  <c r="L2" i="1"/>
  <c r="L18" i="1" l="1"/>
  <c r="L18" i="3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CC79DC-2169-4BCF-A7B0-20B0327080BD}" keepAlive="1" name="Query - T-All_K1 N10 P10" description="Connection to the 'T-All_K1 N10 P10' query in the workbook." type="5" refreshedVersion="8" background="1" saveData="1">
    <dbPr connection="Provider=Microsoft.Mashup.OleDb.1;Data Source=$Workbook$;Location=&quot;T-All_K1 N10 P10&quot;;Extended Properties=&quot;&quot;" command="SELECT * FROM [T-All_K1 N10 P10]"/>
  </connection>
</connections>
</file>

<file path=xl/sharedStrings.xml><?xml version="1.0" encoding="utf-8"?>
<sst xmlns="http://schemas.openxmlformats.org/spreadsheetml/2006/main" count="50" uniqueCount="39">
  <si>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</si>
  <si>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</si>
  <si>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</si>
  <si>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</si>
  <si>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</si>
  <si>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</si>
  <si>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</si>
  <si>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</si>
  <si>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</si>
  <si>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</si>
  <si>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</si>
  <si>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</si>
  <si>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d25aa1037abc0ee33ddf41d15dc8098b5dab31e232686a7a8490057d92d238a8</t>
  </si>
  <si>
    <t>2717b7cd07b3492daa233fba3b311ad11022633fc6887c63a275c09f741c88ad</t>
  </si>
  <si>
    <t>9b563802ec83c693bed1ac3dc42c6e4b8015c6a100b0f60b7f0790385e7c0666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</si>
  <si>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</si>
  <si>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</si>
  <si>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</si>
  <si>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</si>
  <si>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</si>
  <si>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</si>
  <si>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</si>
  <si>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</si>
  <si>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</si>
  <si>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</si>
  <si>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</si>
  <si>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</si>
  <si>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</si>
  <si>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</si>
  <si>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</si>
  <si>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34cd6f7890246a1380e1ca79e6988afe4cfc530950e823b14ee9269cbc9f994a</t>
  </si>
  <si>
    <t>a6772773acf295d82a4a4f90cc6b276e4eef57c35f5dd6a217f40522f7e65019</t>
  </si>
  <si>
    <t>5b3a7e9f258c6e42c84dcbf76b3fb29243536b9fcbc464bc101a1ef6c814c190</t>
  </si>
  <si>
    <t>8001faf888c2bc2a9c689eb7d59c7d120bef7dccc006130a9132b510f98b0204</t>
  </si>
  <si>
    <t>Average per Timestep</t>
  </si>
  <si>
    <t>Average per ID</t>
  </si>
  <si>
    <t>f118c7c854ef66836a33c577ab61f4b2c5a2fd161b97a7011824c1de46a8acb1</t>
  </si>
  <si>
    <t>8e28741218970816587e9c1a3c2cf35e70e897d967bafe3ab109b76341a8f65e</t>
  </si>
  <si>
    <t>0469e2c562078156e98ee780a4c44dab154993760427482cf280123ad2cb1bf8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</si>
</sst>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9"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Relative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'Relative Change'!$A$2</c:f>
              <c:strCache>
                <c:ptCount val="1"/>
                <c:pt idx="0">
                  <c:v>d25aa1037abc0ee33ddf41d15dc8098b5dab31e232686a7a8490057d92d238a8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Change'!$B$2:$I$2</c:f>
              <c:numCache>
                <c:formatCode>General</c:formatCode>
                <c:ptCount val="8"/>
                <c:pt idx="0">
                  <c:v>-0.24888631378367326</c:v>
                </c:pt>
                <c:pt idx="1">
                  <c:v>-7.6080107054051091E-2</c:v>
                </c:pt>
                <c:pt idx="2">
                  <c:v>-9.4825202415512955E-2</c:v>
                </c:pt>
                <c:pt idx="3">
                  <c:v>0.24557784562448776</c:v>
                </c:pt>
                <c:pt idx="4">
                  <c:v>0.11832997746362552</c:v>
                </c:pt>
                <c:pt idx="5">
                  <c:v>-3.4797381867223108E-2</c:v>
                </c:pt>
                <c:pt idx="6">
                  <c:v>-0.3594779367271182</c:v>
                </c:pt>
                <c:pt idx="7">
                  <c:v>0.65158197371510962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0C1-A514-D6FE71A6FDD9}"/>
            </c:ext>
          </c:extLst>
        </c:ser>
        <c:ser>
          <c:idx val="1"/>
          <c:order val="1"/>
          <c:tx>
            <c:strRef>
              <c:f>'Relative Change'!$A$3</c:f>
              <c:strCache>
                <c:ptCount val="1"/>
                <c:pt idx="0">
                  <c:v>2717b7cd07b3492daa233fba3b311ad11022633fc6887c63a275c09f741c88ad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Change'!$B$3:$I$3</c:f>
              <c:numCache>
                <c:formatCode>General</c:formatCode>
                <c:ptCount val="8"/>
                <c:pt idx="0">
                  <c:v>-0.46060528715079846</c:v>
                </c:pt>
                <c:pt idx="1">
                  <c:v>0.44819695684567251</c:v>
                </c:pt>
                <c:pt idx="2">
                  <c:v>-0.24239799520539057</c:v>
                </c:pt>
                <c:pt idx="3">
                  <c:v>-0.39894988809726589</c:v>
                </c:pt>
                <c:pt idx="4">
                  <c:v>-0.13454030862878852</c:v>
                </c:pt>
                <c:pt idx="5">
                  <c:v>1.3599890576244169</c:v>
                </c:pt>
                <c:pt idx="6">
                  <c:v>-0.25264717318367363</c:v>
                </c:pt>
                <c:pt idx="7">
                  <c:v>0.7788847794183994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0C1-A514-D6FE71A6FDD9}"/>
            </c:ext>
          </c:extLst>
        </c:ser>
        <c:ser>
          <c:idx val="2"/>
          <c:order val="2"/>
          <c:tx>
            <c:strRef>
              <c:f>'Relative Change'!$A$4</c:f>
              <c:strCache>
                <c:ptCount val="1"/>
                <c:pt idx="0">
                  <c:v>9b563802ec83c693bed1ac3dc42c6e4b8015c6a100b0f60b7f0790385e7c0666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Change'!$B$4:$I$4</c:f>
              <c:numCache>
                <c:formatCode>General</c:formatCode>
                <c:ptCount val="8"/>
                <c:pt idx="0">
                  <c:v>-0.47610614057398593</c:v>
                </c:pt>
                <c:pt idx="1">
                  <c:v>0.31110016247295275</c:v>
                </c:pt>
                <c:pt idx="2">
                  <c:v>0.65325440063615881</c:v>
                </c:pt>
                <c:pt idx="3">
                  <c:v>-0.25403079503122217</c:v>
                </c:pt>
                <c:pt idx="4">
                  <c:v>5.8021799403416771E-2</c:v>
                </c:pt>
                <c:pt idx="5">
                  <c:v>0.21212673329612833</c:v>
                </c:pt>
                <c:pt idx="6">
                  <c:v>-0.57883835894422653</c:v>
                </c:pt>
                <c:pt idx="7">
                  <c:v>0.6544245962334907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0C1-A514-D6FE71A6FDD9}"/>
            </c:ext>
          </c:extLst>
        </c:ser>
        <c:ser>
          <c:idx val="3"/>
          <c:order val="3"/>
          <c:tx>
            <c:strRef>
              <c:f>'Relative Change'!$A$5</c:f>
              <c:strCache>
                <c:ptCount val="1"/>
                <c:pt idx="0">
                  <c:v>34cd6f7890246a1380e1ca79e6988afe4cfc530950e823b14ee9269cbc9f994a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Change'!$B$5:$I$5</c:f>
              <c:numCache>
                <c:formatCode>General</c:formatCode>
                <c:ptCount val="8"/>
                <c:pt idx="0">
                  <c:v>0.17004608762638007</c:v>
                </c:pt>
                <c:pt idx="1">
                  <c:v>-0.58452430573394487</c:v>
                </c:pt>
                <c:pt idx="2">
                  <c:v>2.4510341045738389</c:v>
                </c:pt>
                <c:pt idx="3">
                  <c:v>-3.2629189658110673E-2</c:v>
                </c:pt>
                <c:pt idx="4">
                  <c:v>-0.69915532274380177</c:v>
                </c:pt>
                <c:pt idx="5">
                  <c:v>0.66458480164745926</c:v>
                </c:pt>
                <c:pt idx="6">
                  <c:v>0.11503124478357279</c:v>
                </c:pt>
                <c:pt idx="7">
                  <c:v>1.2097517477188102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0C1-A514-D6FE71A6FDD9}"/>
            </c:ext>
          </c:extLst>
        </c:ser>
        <c:ser>
          <c:idx val="4"/>
          <c:order val="4"/>
          <c:tx>
            <c:strRef>
              <c:f>'Relative Change'!$A$6</c:f>
              <c:strCache>
                <c:ptCount val="1"/>
                <c:pt idx="0">
                  <c:v>a6772773acf295d82a4a4f90cc6b276e4eef57c35f5dd6a217f40522f7e65019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Change'!$B$6:$I$6</c:f>
              <c:numCache>
                <c:formatCode>General</c:formatCode>
                <c:ptCount val="8"/>
                <c:pt idx="0">
                  <c:v>0.20894133723033143</c:v>
                </c:pt>
                <c:pt idx="1">
                  <c:v>-0.12131181223669123</c:v>
                </c:pt>
                <c:pt idx="2">
                  <c:v>0.81492203691863851</c:v>
                </c:pt>
                <c:pt idx="3">
                  <c:v>3.5296599147985927E-2</c:v>
                </c:pt>
                <c:pt idx="4">
                  <c:v>-0.44450605238104041</c:v>
                </c:pt>
                <c:pt idx="5">
                  <c:v>3.8682820554215402E-2</c:v>
                </c:pt>
                <c:pt idx="6">
                  <c:v>0.30451393571605723</c:v>
                </c:pt>
                <c:pt idx="7">
                  <c:v>0.28390948140965655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0C1-A514-D6FE71A6FDD9}"/>
            </c:ext>
          </c:extLst>
        </c:ser>
        <c:ser>
          <c:idx val="5"/>
          <c:order val="5"/>
          <c:tx>
            <c:strRef>
              <c:f>'Relative Change'!$A$7</c:f>
              <c:strCache>
                <c:ptCount val="1"/>
                <c:pt idx="0">
                  <c:v>5b3a7e9f258c6e42c84dcbf76b3fb29243536b9fcbc464bc101a1ef6c814c190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Change'!$B$7:$I$7</c:f>
              <c:numCache>
                <c:formatCode>General</c:formatCode>
                <c:ptCount val="8"/>
                <c:pt idx="0">
                  <c:v>0.10574623519819128</c:v>
                </c:pt>
                <c:pt idx="1">
                  <c:v>-4.4994739914167907E-2</c:v>
                </c:pt>
                <c:pt idx="2">
                  <c:v>0.26228409313183604</c:v>
                </c:pt>
                <c:pt idx="3">
                  <c:v>-0.308401378452692</c:v>
                </c:pt>
                <c:pt idx="4">
                  <c:v>7.9545592050098687E-2</c:v>
                </c:pt>
                <c:pt idx="5">
                  <c:v>-6.1604244220003948E-2</c:v>
                </c:pt>
                <c:pt idx="6">
                  <c:v>0.55614730783449107</c:v>
                </c:pt>
                <c:pt idx="7">
                  <c:v>-0.33774901269034274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0C1-A514-D6FE71A6FDD9}"/>
            </c:ext>
          </c:extLst>
        </c:ser>
        <c:ser>
          <c:idx val="6"/>
          <c:order val="6"/>
          <c:tx>
            <c:strRef>
              <c:f>'Relative Change'!$A$8</c:f>
              <c:strCache>
                <c:ptCount val="1"/>
                <c:pt idx="0">
                  <c:v>8001faf888c2bc2a9c689eb7d59c7d120bef7dccc006130a9132b510f98b0204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Change'!$B$8:$I$8</c:f>
              <c:numCache>
                <c:formatCode>General</c:formatCode>
                <c:ptCount val="8"/>
                <c:pt idx="0">
                  <c:v>-1.0607850213732138E-2</c:v>
                </c:pt>
                <c:pt idx="1">
                  <c:v>-0.19014489393892606</c:v>
                </c:pt>
                <c:pt idx="2">
                  <c:v>0.96902673276607565</c:v>
                </c:pt>
                <c:pt idx="3">
                  <c:v>-0.45270883721850219</c:v>
                </c:pt>
                <c:pt idx="4">
                  <c:v>0.73503377125081981</c:v>
                </c:pt>
                <c:pt idx="5">
                  <c:v>-0.18217192686327013</c:v>
                </c:pt>
                <c:pt idx="6">
                  <c:v>-0.45634355965590123</c:v>
                </c:pt>
                <c:pt idx="7">
                  <c:v>1.2921725188509912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0C1-A514-D6FE71A6FDD9}"/>
            </c:ext>
          </c:extLst>
        </c:ser>
        <c:ser>
          <c:idx val="7"/>
          <c:order val="7"/>
          <c:tx>
            <c:strRef>
              <c:f>'Relative Change'!$A$9</c:f>
              <c:strCache>
                <c:ptCount val="1"/>
                <c:pt idx="0">
                  <c:v>f118c7c854ef66836a33c577ab61f4b2c5a2fd161b97a7011824c1de46a8acb1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Change'!$B$9:$I$9</c:f>
              <c:numCache>
                <c:formatCode>General</c:formatCode>
                <c:ptCount val="8"/>
                <c:pt idx="0">
                  <c:v>-0.13355209252381425</c:v>
                </c:pt>
                <c:pt idx="1">
                  <c:v>-0.49954435486367865</c:v>
                </c:pt>
                <c:pt idx="2">
                  <c:v>-1.3689647770689137E-2</c:v>
                </c:pt>
                <c:pt idx="3">
                  <c:v>0.46792471051995993</c:v>
                </c:pt>
                <c:pt idx="4">
                  <c:v>0.20009558718603795</c:v>
                </c:pt>
                <c:pt idx="5">
                  <c:v>-0.37247496993222634</c:v>
                </c:pt>
                <c:pt idx="6">
                  <c:v>0.51017518891300162</c:v>
                </c:pt>
                <c:pt idx="7">
                  <c:v>-1.2179970405289254E-2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0C1-A514-D6FE71A6FDD9}"/>
            </c:ext>
          </c:extLst>
        </c:ser>
        <c:ser>
          <c:idx val="8"/>
          <c:order val="8"/>
          <c:tx>
            <c:strRef>
              <c:f>'Relative Change'!$A$10</c:f>
              <c:strCache>
                <c:ptCount val="1"/>
                <c:pt idx="0">
                  <c:v>8e28741218970816587e9c1a3c2cf35e70e897d967bafe3ab109b76341a8f65e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Change'!$B$10:$I$10</c:f>
              <c:numCache>
                <c:formatCode>General</c:formatCode>
                <c:ptCount val="8"/>
                <c:pt idx="0">
                  <c:v>-0.22244788341704316</c:v>
                </c:pt>
                <c:pt idx="1">
                  <c:v>-0.14245130626754968</c:v>
                </c:pt>
                <c:pt idx="2">
                  <c:v>0.2352867057252151</c:v>
                </c:pt>
                <c:pt idx="3">
                  <c:v>-0.64181572738761716</c:v>
                </c:pt>
                <c:pt idx="4">
                  <c:v>1.5184567581670976</c:v>
                </c:pt>
                <c:pt idx="5">
                  <c:v>-0.57833688680861983</c:v>
                </c:pt>
                <c:pt idx="6">
                  <c:v>1.9279062966416129</c:v>
                </c:pt>
                <c:pt idx="7">
                  <c:v>0.48563831869430824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0C1-A514-D6FE71A6FDD9}"/>
            </c:ext>
          </c:extLst>
        </c:ser>
        <c:ser>
          <c:idx val="9"/>
          <c:order val="9"/>
          <c:tx>
            <c:strRef>
              <c:f>'Relative Change'!$A$11</c:f>
              <c:strCache>
                <c:ptCount val="1"/>
                <c:pt idx="0">
                  <c:v>0469e2c562078156e98ee780a4c44dab154993760427482cf280123ad2cb1bf8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'Relative Change'!$B$1:$I$1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'Relative Change'!$B$11:$I$11</c:f>
              <c:numCache>
                <c:formatCode>General</c:formatCode>
                <c:ptCount val="8"/>
                <c:pt idx="0">
                  <c:v>-0.31095384855678487</c:v>
                </c:pt>
                <c:pt idx="1">
                  <c:v>-2.2238640419221013E-2</c:v>
                </c:pt>
                <c:pt idx="2">
                  <c:v>0.20005481690884674</c:v>
                </c:pt>
                <c:pt idx="3">
                  <c:v>0.14225335560694521</c:v>
                </c:pt>
                <c:pt idx="4">
                  <c:v>0.20949749780783825</c:v>
                </c:pt>
                <c:pt idx="5">
                  <c:v>-0.41862196821672104</c:v>
                </c:pt>
                <c:pt idx="6">
                  <c:v>0.25109394739068935</c:v>
                </c:pt>
                <c:pt idx="7">
                  <c:v>-0.18775446409889462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0C1-A514-D6FE71A6F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442511"/>
        <c:axId val="1625443951"/>
      </c:scatterChart>
      <c:valAx>
        <c:axId val="1625442511"/>
        <c:scaling>
          <c:orientation val="minMax"/>
          <c:max val="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Ending</a:t>
                </a:r>
                <a:r>
                  <a:rPr lang="en-AU" baseline="0"/>
                  <a:t> Timestep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43951"/>
        <c:crosses val="autoZero"/>
        <c:crossBetween val="midCat"/>
      </c:valAx>
      <c:valAx>
        <c:axId val="16254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Relative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4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Raw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'T-All_K1 N10 P10'!$A$2</c:f>
              <c:strCache>
                <c:ptCount val="1"/>
                <c:pt idx="0">
                  <c:v>d25aa1037abc0ee33ddf41d15dc8098b5dab31e232686a7a8490057d92d238a8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P10'!$B$2:$J$2</c:f>
              <c:numCache>
                <c:formatCode>General</c:formatCode>
                <c:ptCount val="9"/>
                <c:pt idx="0">
                  <c:v>7.7093696345728411</c:v>
                </c:pt>
                <c:pt idx="1">
                  <c:v>5.7906130446282225</c:v>
                </c:pt>
                <c:pt idx="2">
                  <c:v>5.3500625842843226</c:v>
                </c:pt>
                <c:pt idx="3">
                  <c:v>4.8427418167938994</c:v>
                </c:pt>
                <c:pt idx="4">
                  <c:v>6.032011919077763</c:v>
                </c:pt>
                <c:pt idx="5">
                  <c:v>6.7457797535225552</c:v>
                </c:pt>
                <c:pt idx="6">
                  <c:v>6.5110442794470487</c:v>
                </c:pt>
                <c:pt idx="7">
                  <c:v>4.1704675159325175</c:v>
                </c:pt>
                <c:pt idx="8">
                  <c:v>6.8878689712785777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0-44D3-8E89-C3CA19FAC351}"/>
            </c:ext>
          </c:extLst>
        </c:ser>
        <c:ser>
          <c:idx val="1"/>
          <c:order val="1"/>
          <c:tx>
            <c:strRef>
              <c:f>'T-All_K1 N10 P10'!$A$3</c:f>
              <c:strCache>
                <c:ptCount val="1"/>
                <c:pt idx="0">
                  <c:v>2717b7cd07b3492daa233fba3b311ad11022633fc6887c63a275c09f741c88ad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P10'!$B$3:$J$3</c:f>
              <c:numCache>
                <c:formatCode>General</c:formatCode>
                <c:ptCount val="9"/>
                <c:pt idx="0">
                  <c:v>7.3987379043496944</c:v>
                </c:pt>
                <c:pt idx="1">
                  <c:v>3.9908401073632067</c:v>
                </c:pt>
                <c:pt idx="2">
                  <c:v>5.7795224987410529</c:v>
                </c:pt>
                <c:pt idx="3">
                  <c:v>4.3785778318017723</c:v>
                </c:pt>
                <c:pt idx="4">
                  <c:v>2.631744695779286</c:v>
                </c:pt>
                <c:pt idx="5">
                  <c:v>2.2776689521769637</c:v>
                </c:pt>
                <c:pt idx="6">
                  <c:v>5.375273804028506</c:v>
                </c:pt>
                <c:pt idx="7">
                  <c:v>4.017226072352452</c:v>
                </c:pt>
                <c:pt idx="8">
                  <c:v>7.1461823155905346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0-44D3-8E89-C3CA19FAC351}"/>
            </c:ext>
          </c:extLst>
        </c:ser>
        <c:ser>
          <c:idx val="2"/>
          <c:order val="2"/>
          <c:tx>
            <c:strRef>
              <c:f>'T-All_K1 N10 P10'!$A$4</c:f>
              <c:strCache>
                <c:ptCount val="1"/>
                <c:pt idx="0">
                  <c:v>9b563802ec83c693bed1ac3dc42c6e4b8015c6a100b0f60b7f0790385e7c0666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P10'!$B$4:$J$4</c:f>
              <c:numCache>
                <c:formatCode>General</c:formatCode>
                <c:ptCount val="9"/>
                <c:pt idx="0">
                  <c:v>7.7130281156282345</c:v>
                </c:pt>
                <c:pt idx="1">
                  <c:v>4.0408080673578324</c:v>
                </c:pt>
                <c:pt idx="2">
                  <c:v>5.2979041136348721</c:v>
                </c:pt>
                <c:pt idx="3">
                  <c:v>8.7587832900152609</c:v>
                </c:pt>
                <c:pt idx="4">
                  <c:v>6.5337826073465006</c:v>
                </c:pt>
                <c:pt idx="5">
                  <c:v>6.9128844311354927</c:v>
                </c:pt>
                <c:pt idx="6">
                  <c:v>8.3792920231659291</c:v>
                </c:pt>
                <c:pt idx="7">
                  <c:v>3.5290363793621151</c:v>
                </c:pt>
                <c:pt idx="8">
                  <c:v>5.8385245870194673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0-44D3-8E89-C3CA19FAC351}"/>
            </c:ext>
          </c:extLst>
        </c:ser>
        <c:ser>
          <c:idx val="3"/>
          <c:order val="3"/>
          <c:tx>
            <c:strRef>
              <c:f>'T-All_K1 N10 P10'!$A$5</c:f>
              <c:strCache>
                <c:ptCount val="1"/>
                <c:pt idx="0">
                  <c:v>34cd6f7890246a1380e1ca79e6988afe4cfc530950e823b14ee9269cbc9f994a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P10'!$B$5:$J$5</c:f>
              <c:numCache>
                <c:formatCode>General</c:formatCode>
                <c:ptCount val="9"/>
                <c:pt idx="0">
                  <c:v>3.7370029357996408</c:v>
                </c:pt>
                <c:pt idx="1">
                  <c:v>4.3724656644806661</c:v>
                </c:pt>
                <c:pt idx="2">
                  <c:v>1.8166532076045925</c:v>
                </c:pt>
                <c:pt idx="3">
                  <c:v>6.2693321756269071</c:v>
                </c:pt>
                <c:pt idx="4">
                  <c:v>6.0647689470386812</c:v>
                </c:pt>
                <c:pt idx="5">
                  <c:v>1.8245534565052657</c:v>
                </c:pt>
                <c:pt idx="6">
                  <c:v>3.0371239534920038</c:v>
                </c:pt>
                <c:pt idx="7">
                  <c:v>3.3864881024241948</c:v>
                </c:pt>
                <c:pt idx="8">
                  <c:v>7.4832980029608223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D0-44D3-8E89-C3CA19FAC351}"/>
            </c:ext>
          </c:extLst>
        </c:ser>
        <c:ser>
          <c:idx val="4"/>
          <c:order val="4"/>
          <c:tx>
            <c:strRef>
              <c:f>'T-All_K1 N10 P10'!$A$6</c:f>
              <c:strCache>
                <c:ptCount val="1"/>
                <c:pt idx="0">
                  <c:v>a6772773acf295d82a4a4f90cc6b276e4eef57c35f5dd6a217f40522f7e65019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P10'!$B$6:$J$6</c:f>
              <c:numCache>
                <c:formatCode>General</c:formatCode>
                <c:ptCount val="9"/>
                <c:pt idx="0">
                  <c:v>5.2243998508356526</c:v>
                </c:pt>
                <c:pt idx="1">
                  <c:v>6.3159929418951979</c:v>
                </c:pt>
                <c:pt idx="2">
                  <c:v>5.5497883920397406</c:v>
                </c:pt>
                <c:pt idx="3">
                  <c:v>10.072433252948182</c:v>
                </c:pt>
                <c:pt idx="4">
                  <c:v>10.427955891922338</c:v>
                </c:pt>
                <c:pt idx="5">
                  <c:v>5.7926663840003281</c:v>
                </c:pt>
                <c:pt idx="6">
                  <c:v>6.0167430582630486</c:v>
                </c:pt>
                <c:pt idx="7">
                  <c:v>7.8489251671269962</c:v>
                </c:pt>
                <c:pt idx="8">
                  <c:v>10.077309440949223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D0-44D3-8E89-C3CA19FAC351}"/>
            </c:ext>
          </c:extLst>
        </c:ser>
        <c:ser>
          <c:idx val="5"/>
          <c:order val="5"/>
          <c:tx>
            <c:strRef>
              <c:f>'T-All_K1 N10 P10'!$A$7</c:f>
              <c:strCache>
                <c:ptCount val="1"/>
                <c:pt idx="0">
                  <c:v>5b3a7e9f258c6e42c84dcbf76b3fb29243536b9fcbc464bc101a1ef6c814c190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P10'!$B$7:$J$7</c:f>
              <c:numCache>
                <c:formatCode>General</c:formatCode>
                <c:ptCount val="9"/>
                <c:pt idx="0">
                  <c:v>5.9353373015873032</c:v>
                </c:pt>
                <c:pt idx="1">
                  <c:v>6.5629768758615521</c:v>
                </c:pt>
                <c:pt idx="2">
                  <c:v>6.2676774382694633</c:v>
                </c:pt>
                <c:pt idx="3">
                  <c:v>7.9115895312088389</c:v>
                </c:pt>
                <c:pt idx="4">
                  <c:v>5.4716444140321459</c:v>
                </c:pt>
                <c:pt idx="5">
                  <c:v>5.9068896084339482</c:v>
                </c:pt>
                <c:pt idx="6">
                  <c:v>5.5430001384153798</c:v>
                </c:pt>
                <c:pt idx="7">
                  <c:v>8.6257247427213048</c:v>
                </c:pt>
                <c:pt idx="8">
                  <c:v>5.7123947271285234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D0-44D3-8E89-C3CA19FAC351}"/>
            </c:ext>
          </c:extLst>
        </c:ser>
        <c:ser>
          <c:idx val="6"/>
          <c:order val="6"/>
          <c:tx>
            <c:strRef>
              <c:f>'T-All_K1 N10 P10'!$A$8</c:f>
              <c:strCache>
                <c:ptCount val="1"/>
                <c:pt idx="0">
                  <c:v>8001faf888c2bc2a9c689eb7d59c7d120bef7dccc006130a9132b510f98b0204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P10'!$B$8:$J$8</c:f>
              <c:numCache>
                <c:formatCode>General</c:formatCode>
                <c:ptCount val="9"/>
                <c:pt idx="0">
                  <c:v>4.5728695050863726</c:v>
                </c:pt>
                <c:pt idx="1">
                  <c:v>4.5243611903294729</c:v>
                </c:pt>
                <c:pt idx="2">
                  <c:v>3.664077011652882</c:v>
                </c:pt>
                <c:pt idx="3">
                  <c:v>7.2146655868581604</c:v>
                </c:pt>
                <c:pt idx="4">
                  <c:v>3.9485227181112599</c:v>
                </c:pt>
                <c:pt idx="5">
                  <c:v>6.8508202624741168</c:v>
                </c:pt>
                <c:pt idx="6">
                  <c:v>5.6027931346652728</c:v>
                </c:pt>
                <c:pt idx="7">
                  <c:v>3.0459945715764771</c:v>
                </c:pt>
                <c:pt idx="8">
                  <c:v>6.9819450495368995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D0-44D3-8E89-C3CA19FAC351}"/>
            </c:ext>
          </c:extLst>
        </c:ser>
        <c:ser>
          <c:idx val="7"/>
          <c:order val="7"/>
          <c:tx>
            <c:strRef>
              <c:f>'T-All_K1 N10 P10'!$A$9</c:f>
              <c:strCache>
                <c:ptCount val="1"/>
                <c:pt idx="0">
                  <c:v>f118c7c854ef66836a33c577ab61f4b2c5a2fd161b97a7011824c1de46a8acb1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P10'!$B$9:$J$9</c:f>
              <c:numCache>
                <c:formatCode>General</c:formatCode>
                <c:ptCount val="9"/>
                <c:pt idx="0">
                  <c:v>16.903561835790857</c:v>
                </c:pt>
                <c:pt idx="1">
                  <c:v>14.646055781515301</c:v>
                </c:pt>
                <c:pt idx="2">
                  <c:v>7.3297012948407891</c:v>
                </c:pt>
                <c:pt idx="3">
                  <c:v>7.2293602658500546</c:v>
                </c:pt>
                <c:pt idx="4">
                  <c:v>10.612156575492442</c:v>
                </c:pt>
                <c:pt idx="5">
                  <c:v>12.735602276775776</c:v>
                </c:pt>
                <c:pt idx="6">
                  <c:v>7.9919092016649254</c:v>
                </c:pt>
                <c:pt idx="7">
                  <c:v>12.069182988399884</c:v>
                </c:pt>
                <c:pt idx="8">
                  <c:v>11.922180696785153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D0-44D3-8E89-C3CA19FAC351}"/>
            </c:ext>
          </c:extLst>
        </c:ser>
        <c:ser>
          <c:idx val="8"/>
          <c:order val="8"/>
          <c:tx>
            <c:strRef>
              <c:f>'T-All_K1 N10 P10'!$A$10</c:f>
              <c:strCache>
                <c:ptCount val="1"/>
                <c:pt idx="0">
                  <c:v>8e28741218970816587e9c1a3c2cf35e70e897d967bafe3ab109b76341a8f65e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P10'!$B$10:$J$10</c:f>
              <c:numCache>
                <c:formatCode>General</c:formatCode>
                <c:ptCount val="9"/>
                <c:pt idx="0">
                  <c:v>8.0878435716901134</c:v>
                </c:pt>
                <c:pt idx="1">
                  <c:v>6.288719887759509</c:v>
                </c:pt>
                <c:pt idx="2">
                  <c:v>5.3928835249974485</c:v>
                </c:pt>
                <c:pt idx="3">
                  <c:v>6.6617573239538839</c:v>
                </c:pt>
                <c:pt idx="4">
                  <c:v>2.3861367014006358</c:v>
                </c:pt>
                <c:pt idx="5">
                  <c:v>6.0093821015529771</c:v>
                </c:pt>
                <c:pt idx="6">
                  <c:v>2.5339347652973871</c:v>
                </c:pt>
                <c:pt idx="7">
                  <c:v>7.4191235545933081</c:v>
                </c:pt>
                <c:pt idx="8">
                  <c:v>11.022134243831342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D0-44D3-8E89-C3CA19FAC351}"/>
            </c:ext>
          </c:extLst>
        </c:ser>
        <c:ser>
          <c:idx val="9"/>
          <c:order val="9"/>
          <c:tx>
            <c:strRef>
              <c:f>'T-All_K1 N10 P10'!$A$11</c:f>
              <c:strCache>
                <c:ptCount val="1"/>
                <c:pt idx="0">
                  <c:v>0469e2c562078156e98ee780a4c44dab154993760427482cf280123ad2cb1bf8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'T-All_K1 N10 P10'!$B$1:$J$1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'T-All_K1 N10 P10'!$B$11:$J$11</c:f>
              <c:numCache>
                <c:formatCode>General</c:formatCode>
                <c:ptCount val="9"/>
                <c:pt idx="0">
                  <c:v>9.6786731301851656</c:v>
                </c:pt>
                <c:pt idx="1">
                  <c:v>6.6690524714309447</c:v>
                </c:pt>
                <c:pt idx="2">
                  <c:v>6.5207418115818747</c:v>
                </c:pt>
                <c:pt idx="3">
                  <c:v>7.8252476208077484</c:v>
                </c:pt>
                <c:pt idx="4">
                  <c:v>8.9384153533229149</c:v>
                </c:pt>
                <c:pt idx="5">
                  <c:v>10.81099100421123</c:v>
                </c:pt>
                <c:pt idx="6">
                  <c:v>6.2852726716550595</c:v>
                </c:pt>
                <c:pt idx="7">
                  <c:v>7.8634665972077524</c:v>
                </c:pt>
                <c:pt idx="8">
                  <c:v>6.3870656402894523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D0-44D3-8E89-C3CA19FAC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264735"/>
        <c:axId val="1614265215"/>
      </c:lineChart>
      <c:catAx>
        <c:axId val="1614264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65215"/>
        <c:crosses val="autoZero"/>
        <c:auto val="1"/>
        <c:lblAlgn val="ctr"/>
        <c:lblOffset val="100"/>
        <c:noMultiLvlLbl val="0"/>
      </c:catAx>
      <c:valAx>
        <c:axId val="161426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6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111673</xdr:colOff>
      <xdr:row>22</xdr:row>
      <xdr:rowOff>6568</xdr:rowOff>
    </xdr:from>
    <xdr:to>
      <xdr:col>15</xdr:col>
      <xdr:colOff>407276</xdr:colOff>
      <xdr:row>46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4E61C6-5CD5-4F0E-BB68-954AC44C6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164225</xdr:colOff>
      <xdr:row>47</xdr:row>
      <xdr:rowOff>164224</xdr:rowOff>
    </xdr:from>
    <xdr:to>
      <xdr:col>21</xdr:col>
      <xdr:colOff>188954</xdr:colOff>
      <xdr:row>72</xdr:row>
      <xdr:rowOff>11824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23FEDA-F84C-4109-8A6E-7DBFE6ED3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FC5C29-7C7D-41E0-8044-CB344FB92289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04672-D6B2-4AC9-8035-BE87FC7BFFD2}" name="T_All_K1_N10_P10" displayName="T_All_K1_N10_P10" ref="A1:L11" tableType="queryTable" totalsRowShown="0">
  <autoFilter ref="A1:L11" xr:uid="{80804672-D6B2-4AC9-8035-BE87FC7BFFD2}"/>
  <tableColumns count="12">
    <tableColumn id="1" xr3:uid="{E6987036-F876-4E52-9C04-646196CA4595}" uniqueName="1" name="Identifier" queryTableFieldId="1" dataDxfId="8"/>
    <tableColumn id="2" xr3:uid="{0C968B3F-7D00-4C01-9461-8F1179E382E6}" uniqueName="2" name="0" queryTableFieldId="2"/>
    <tableColumn id="3" xr3:uid="{D352341E-EB4F-4034-950E-2E5D5DF2465F}" uniqueName="3" name="1" queryTableFieldId="3"/>
    <tableColumn id="4" xr3:uid="{1F1D4C01-65D5-4F2D-A951-E919FA3E9FA3}" uniqueName="4" name="2" queryTableFieldId="4"/>
    <tableColumn id="5" xr3:uid="{0FB7260E-8336-42C3-9B9E-95FC36C57329}" uniqueName="5" name="3" queryTableFieldId="5"/>
    <tableColumn id="6" xr3:uid="{27B22EE1-229A-4350-B072-829193DB4505}" uniqueName="6" name="4" queryTableFieldId="6"/>
    <tableColumn id="7" xr3:uid="{47ABAC8D-7AD1-4372-9511-A050DE8E3815}" uniqueName="7" name="5" queryTableFieldId="7"/>
    <tableColumn id="8" xr3:uid="{E860E029-75C1-40B7-AADD-DB1C96BF6011}" uniqueName="8" name="6" queryTableFieldId="8"/>
    <tableColumn id="9" xr3:uid="{BCB101BC-9798-4D98-8694-C76DA8916CEE}" uniqueName="9" name="7" queryTableFieldId="9"/>
    <tableColumn id="10" xr3:uid="{A3C6316F-861E-4375-8B9E-17935D3E9289}" uniqueName="10" name="8" queryTableFieldId="10"/>
    <tableColumn id="11" xr3:uid="{BDB8BE69-A2E6-4D56-A2A3-6CFDD9D2B51A}" uniqueName="11" name="9" queryTableFieldId="11"/>
    <tableColumn id="12" xr3:uid="{7EF22797-133B-40DF-8FAD-BD237ACCF0E7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877F-631B-4F87-AF6E-1AB7D24FAA39}">
  <dimension ref="A1:L11"/>
  <sheetViews>
    <sheetView tabSelected="1" zoomScale="85" zoomScaleNormal="85" workbookViewId="0">
      <selection activeCell="B40" sqref="B40"/>
    </sheetView>
  </sheetViews>
  <sheetFormatPr defaultRowHeight="15" x14ac:dyDescent="0.25"/>
  <cols>
    <col min="1" max="1" width="69.140625" bestFit="1" customWidth="1"/>
    <col min="2" max="10" width="12.28515625" bestFit="1" customWidth="1"/>
    <col min="11" max="11" width="4.85546875" bestFit="1" customWidth="1"/>
    <col min="12" max="12" width="5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7.7093696345728411</v>
      </c>
      <c r="C2">
        <v>5.7906130446282225</v>
      </c>
      <c r="D2">
        <v>5.3500625842843226</v>
      </c>
      <c r="E2">
        <v>4.8427418167938994</v>
      </c>
      <c r="F2">
        <v>6.032011919077763</v>
      </c>
      <c r="G2">
        <v>6.7457797535225552</v>
      </c>
      <c r="H2">
        <v>6.5110442794470487</v>
      </c>
      <c r="I2">
        <v>4.1704675159325175</v>
      </c>
      <c r="J2">
        <v>6.8878689712785777</v>
      </c>
    </row>
    <row r="3" spans="1:12" x14ac:dyDescent="0.25">
      <c r="A3" t="s">
        <v>13</v>
      </c>
      <c r="B3">
        <v>7.3987379043496944</v>
      </c>
      <c r="C3">
        <v>3.9908401073632067</v>
      </c>
      <c r="D3">
        <v>5.7795224987410529</v>
      </c>
      <c r="E3">
        <v>4.3785778318017723</v>
      </c>
      <c r="F3">
        <v>2.631744695779286</v>
      </c>
      <c r="G3">
        <v>2.2776689521769637</v>
      </c>
      <c r="H3">
        <v>5.375273804028506</v>
      </c>
      <c r="I3">
        <v>4.017226072352452</v>
      </c>
      <c r="J3">
        <v>7.1461823155905346</v>
      </c>
    </row>
    <row r="4" spans="1:12" x14ac:dyDescent="0.25">
      <c r="A4" t="s">
        <v>14</v>
      </c>
      <c r="B4">
        <v>7.7130281156282345</v>
      </c>
      <c r="C4">
        <v>4.0408080673578324</v>
      </c>
      <c r="D4">
        <v>5.2979041136348721</v>
      </c>
      <c r="E4">
        <v>8.7587832900152609</v>
      </c>
      <c r="F4">
        <v>6.5337826073465006</v>
      </c>
      <c r="G4">
        <v>6.9128844311354927</v>
      </c>
      <c r="H4">
        <v>8.3792920231659291</v>
      </c>
      <c r="I4">
        <v>3.5290363793621151</v>
      </c>
      <c r="J4">
        <v>5.8385245870194673</v>
      </c>
    </row>
    <row r="5" spans="1:12" x14ac:dyDescent="0.25">
      <c r="A5" t="s">
        <v>30</v>
      </c>
      <c r="B5">
        <v>3.7370029357996408</v>
      </c>
      <c r="C5">
        <v>4.3724656644806661</v>
      </c>
      <c r="D5">
        <v>1.8166532076045925</v>
      </c>
      <c r="E5">
        <v>6.2693321756269071</v>
      </c>
      <c r="F5">
        <v>6.0647689470386812</v>
      </c>
      <c r="G5">
        <v>1.8245534565052657</v>
      </c>
      <c r="H5">
        <v>3.0371239534920038</v>
      </c>
      <c r="I5">
        <v>3.3864881024241948</v>
      </c>
      <c r="J5">
        <v>7.4832980029608223</v>
      </c>
    </row>
    <row r="6" spans="1:12" x14ac:dyDescent="0.25">
      <c r="A6" t="s">
        <v>31</v>
      </c>
      <c r="B6">
        <v>5.2243998508356526</v>
      </c>
      <c r="C6">
        <v>6.3159929418951979</v>
      </c>
      <c r="D6">
        <v>5.5497883920397406</v>
      </c>
      <c r="E6">
        <v>10.072433252948182</v>
      </c>
      <c r="F6">
        <v>10.427955891922338</v>
      </c>
      <c r="G6">
        <v>5.7926663840003281</v>
      </c>
      <c r="H6">
        <v>6.0167430582630486</v>
      </c>
      <c r="I6">
        <v>7.8489251671269962</v>
      </c>
      <c r="J6">
        <v>10.077309440949223</v>
      </c>
    </row>
    <row r="7" spans="1:12" x14ac:dyDescent="0.25">
      <c r="A7" t="s">
        <v>32</v>
      </c>
      <c r="B7">
        <v>5.9353373015873032</v>
      </c>
      <c r="C7">
        <v>6.5629768758615521</v>
      </c>
      <c r="D7">
        <v>6.2676774382694633</v>
      </c>
      <c r="E7">
        <v>7.9115895312088389</v>
      </c>
      <c r="F7">
        <v>5.4716444140321459</v>
      </c>
      <c r="G7">
        <v>5.9068896084339482</v>
      </c>
      <c r="H7">
        <v>5.5430001384153798</v>
      </c>
      <c r="I7">
        <v>8.6257247427213048</v>
      </c>
      <c r="J7">
        <v>5.7123947271285234</v>
      </c>
    </row>
    <row r="8" spans="1:12" x14ac:dyDescent="0.25">
      <c r="A8" t="s">
        <v>33</v>
      </c>
      <c r="B8">
        <v>4.5728695050863726</v>
      </c>
      <c r="C8">
        <v>4.5243611903294729</v>
      </c>
      <c r="D8">
        <v>3.664077011652882</v>
      </c>
      <c r="E8">
        <v>7.2146655868581604</v>
      </c>
      <c r="F8">
        <v>3.9485227181112599</v>
      </c>
      <c r="G8">
        <v>6.8508202624741168</v>
      </c>
      <c r="H8">
        <v>5.6027931346652728</v>
      </c>
      <c r="I8">
        <v>3.0459945715764771</v>
      </c>
      <c r="J8">
        <v>6.9819450495368995</v>
      </c>
    </row>
    <row r="9" spans="1:12" x14ac:dyDescent="0.25">
      <c r="A9" t="s">
        <v>36</v>
      </c>
      <c r="B9">
        <v>16.903561835790857</v>
      </c>
      <c r="C9">
        <v>14.646055781515301</v>
      </c>
      <c r="D9">
        <v>7.3297012948407891</v>
      </c>
      <c r="E9">
        <v>7.2293602658500546</v>
      </c>
      <c r="F9">
        <v>10.612156575492442</v>
      </c>
      <c r="G9">
        <v>12.735602276775776</v>
      </c>
      <c r="H9">
        <v>7.9919092016649254</v>
      </c>
      <c r="I9">
        <v>12.069182988399884</v>
      </c>
      <c r="J9">
        <v>11.922180696785153</v>
      </c>
    </row>
    <row r="10" spans="1:12" x14ac:dyDescent="0.25">
      <c r="A10" t="s">
        <v>37</v>
      </c>
      <c r="B10">
        <v>8.0878435716901134</v>
      </c>
      <c r="C10">
        <v>6.288719887759509</v>
      </c>
      <c r="D10">
        <v>5.3928835249974485</v>
      </c>
      <c r="E10">
        <v>6.6617573239538839</v>
      </c>
      <c r="F10">
        <v>2.3861367014006358</v>
      </c>
      <c r="G10">
        <v>6.0093821015529771</v>
      </c>
      <c r="H10">
        <v>2.5339347652973871</v>
      </c>
      <c r="I10">
        <v>7.4191235545933081</v>
      </c>
      <c r="J10">
        <v>11.022134243831342</v>
      </c>
    </row>
    <row r="11" spans="1:12" x14ac:dyDescent="0.25">
      <c r="A11" t="s">
        <v>38</v>
      </c>
      <c r="B11">
        <v>9.6786731301851656</v>
      </c>
      <c r="C11">
        <v>6.6690524714309447</v>
      </c>
      <c r="D11">
        <v>6.5207418115818747</v>
      </c>
      <c r="E11">
        <v>7.8252476208077484</v>
      </c>
      <c r="F11">
        <v>8.9384153533229149</v>
      </c>
      <c r="G11">
        <v>10.81099100421123</v>
      </c>
      <c r="H11">
        <v>6.2852726716550595</v>
      </c>
      <c r="I11">
        <v>7.8634665972077524</v>
      </c>
      <c r="J11">
        <v>6.3870656402894523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L18"/>
  <sheetViews>
    <sheetView zoomScale="130" zoomScaleNormal="130" workbookViewId="0">
      <selection activeCell="L15" sqref="L15"/>
    </sheetView>
  </sheetViews>
  <sheetFormatPr defaultRowHeight="15" x14ac:dyDescent="0.25"/>
  <cols>
    <col min="1" max="1" width="20.42578125" customWidth="1"/>
  </cols>
  <sheetData>
    <row r="1" spans="1:12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15</v>
      </c>
    </row>
    <row r="2" spans="1:12" x14ac:dyDescent="0.25">
      <c r="A2" t="str">
        <f>T_All_K1_N10_P10[[#This Row],[Identifier]]</f>
        <v>d25aa1037abc0ee33ddf41d15dc8098b5dab31e232686a7a8490057d92d238a8</v>
      </c>
      <c r="B2">
        <f>T_All_K1_N10_P10[[#This Row],[0]]</f>
        <v>7.7093696345728411</v>
      </c>
      <c r="C2">
        <f>T_All_K1_N10_P10[[#This Row],[1]]</f>
        <v>5.7906130446282225</v>
      </c>
      <c r="D2">
        <f>T_All_K1_N10_P10[[#This Row],[2]]</f>
        <v>5.3500625842843226</v>
      </c>
      <c r="E2">
        <f>T_All_K1_N10_P10[[#This Row],[3]]</f>
        <v>4.8427418167938994</v>
      </c>
      <c r="F2">
        <f>T_All_K1_N10_P10[[#This Row],[4]]</f>
        <v>6.032011919077763</v>
      </c>
      <c r="G2">
        <f>T_All_K1_N10_P10[[#This Row],[5]]</f>
        <v>6.7457797535225552</v>
      </c>
      <c r="H2">
        <f>T_All_K1_N10_P10[[#This Row],[6]]</f>
        <v>6.5110442794470487</v>
      </c>
      <c r="I2">
        <f>T_All_K1_N10_P10[[#This Row],[7]]</f>
        <v>4.1704675159325175</v>
      </c>
      <c r="J2">
        <f>T_All_K1_N10_P10[[#This Row],[8]]</f>
        <v>6.8878689712785777</v>
      </c>
      <c r="L2" s="3">
        <f t="shared" ref="L2:L11" si="0">RSQ(B2:J2,$B$1:$J$1)</f>
        <v>2.6473557482281765E-2</v>
      </c>
    </row>
    <row r="3" spans="1:12" x14ac:dyDescent="0.25">
      <c r="A3" t="str">
        <f>T_All_K1_N10_P10[[#This Row],[Identifier]]</f>
        <v>2717b7cd07b3492daa233fba3b311ad11022633fc6887c63a275c09f741c88ad</v>
      </c>
      <c r="B3">
        <f>T_All_K1_N10_P10[[#This Row],[0]]</f>
        <v>7.3987379043496944</v>
      </c>
      <c r="C3">
        <f>T_All_K1_N10_P10[[#This Row],[1]]</f>
        <v>3.9908401073632067</v>
      </c>
      <c r="D3">
        <f>T_All_K1_N10_P10[[#This Row],[2]]</f>
        <v>5.7795224987410529</v>
      </c>
      <c r="E3">
        <f>T_All_K1_N10_P10[[#This Row],[3]]</f>
        <v>4.3785778318017723</v>
      </c>
      <c r="F3">
        <f>T_All_K1_N10_P10[[#This Row],[4]]</f>
        <v>2.631744695779286</v>
      </c>
      <c r="G3">
        <f>T_All_K1_N10_P10[[#This Row],[5]]</f>
        <v>2.2776689521769637</v>
      </c>
      <c r="H3">
        <f>T_All_K1_N10_P10[[#This Row],[6]]</f>
        <v>5.375273804028506</v>
      </c>
      <c r="I3">
        <f>T_All_K1_N10_P10[[#This Row],[7]]</f>
        <v>4.017226072352452</v>
      </c>
      <c r="J3">
        <f>T_All_K1_N10_P10[[#This Row],[8]]</f>
        <v>7.1461823155905346</v>
      </c>
      <c r="L3" s="3">
        <f t="shared" si="0"/>
        <v>9.4356318647518967E-3</v>
      </c>
    </row>
    <row r="4" spans="1:12" x14ac:dyDescent="0.25">
      <c r="A4" t="str">
        <f>T_All_K1_N10_P10[[#This Row],[Identifier]]</f>
        <v>9b563802ec83c693bed1ac3dc42c6e4b8015c6a100b0f60b7f0790385e7c0666</v>
      </c>
      <c r="B4">
        <f>T_All_K1_N10_P10[[#This Row],[0]]</f>
        <v>7.7130281156282345</v>
      </c>
      <c r="C4">
        <f>T_All_K1_N10_P10[[#This Row],[1]]</f>
        <v>4.0408080673578324</v>
      </c>
      <c r="D4">
        <f>T_All_K1_N10_P10[[#This Row],[2]]</f>
        <v>5.2979041136348721</v>
      </c>
      <c r="E4">
        <f>T_All_K1_N10_P10[[#This Row],[3]]</f>
        <v>8.7587832900152609</v>
      </c>
      <c r="F4">
        <f>T_All_K1_N10_P10[[#This Row],[4]]</f>
        <v>6.5337826073465006</v>
      </c>
      <c r="G4">
        <f>T_All_K1_N10_P10[[#This Row],[5]]</f>
        <v>6.9128844311354927</v>
      </c>
      <c r="H4">
        <f>T_All_K1_N10_P10[[#This Row],[6]]</f>
        <v>8.3792920231659291</v>
      </c>
      <c r="I4">
        <f>T_All_K1_N10_P10[[#This Row],[7]]</f>
        <v>3.5290363793621151</v>
      </c>
      <c r="J4">
        <f>T_All_K1_N10_P10[[#This Row],[8]]</f>
        <v>5.8385245870194673</v>
      </c>
      <c r="L4" s="3">
        <f t="shared" si="0"/>
        <v>1.3841616109204539E-2</v>
      </c>
    </row>
    <row r="5" spans="1:12" x14ac:dyDescent="0.25">
      <c r="A5" t="str">
        <f>T_All_K1_N10_P10[[#This Row],[Identifier]]</f>
        <v>34cd6f7890246a1380e1ca79e6988afe4cfc530950e823b14ee9269cbc9f994a</v>
      </c>
      <c r="B5">
        <f>T_All_K1_N10_P10[[#This Row],[0]]</f>
        <v>3.7370029357996408</v>
      </c>
      <c r="C5">
        <f>T_All_K1_N10_P10[[#This Row],[1]]</f>
        <v>4.3724656644806661</v>
      </c>
      <c r="D5">
        <f>T_All_K1_N10_P10[[#This Row],[2]]</f>
        <v>1.8166532076045925</v>
      </c>
      <c r="E5">
        <f>T_All_K1_N10_P10[[#This Row],[3]]</f>
        <v>6.2693321756269071</v>
      </c>
      <c r="F5">
        <f>T_All_K1_N10_P10[[#This Row],[4]]</f>
        <v>6.0647689470386812</v>
      </c>
      <c r="G5">
        <f>T_All_K1_N10_P10[[#This Row],[5]]</f>
        <v>1.8245534565052657</v>
      </c>
      <c r="H5">
        <f>T_All_K1_N10_P10[[#This Row],[6]]</f>
        <v>3.0371239534920038</v>
      </c>
      <c r="I5">
        <f>T_All_K1_N10_P10[[#This Row],[7]]</f>
        <v>3.3864881024241948</v>
      </c>
      <c r="J5">
        <f>T_All_K1_N10_P10[[#This Row],[8]]</f>
        <v>7.4832980029608223</v>
      </c>
      <c r="L5" s="3">
        <f t="shared" si="0"/>
        <v>5.2137268104919594E-2</v>
      </c>
    </row>
    <row r="6" spans="1:12" x14ac:dyDescent="0.25">
      <c r="A6" t="str">
        <f>T_All_K1_N10_P10[[#This Row],[Identifier]]</f>
        <v>a6772773acf295d82a4a4f90cc6b276e4eef57c35f5dd6a217f40522f7e65019</v>
      </c>
      <c r="B6">
        <f>T_All_K1_N10_P10[[#This Row],[0]]</f>
        <v>5.2243998508356526</v>
      </c>
      <c r="C6">
        <f>T_All_K1_N10_P10[[#This Row],[1]]</f>
        <v>6.3159929418951979</v>
      </c>
      <c r="D6">
        <f>T_All_K1_N10_P10[[#This Row],[2]]</f>
        <v>5.5497883920397406</v>
      </c>
      <c r="E6">
        <f>T_All_K1_N10_P10[[#This Row],[3]]</f>
        <v>10.072433252948182</v>
      </c>
      <c r="F6">
        <f>T_All_K1_N10_P10[[#This Row],[4]]</f>
        <v>10.427955891922338</v>
      </c>
      <c r="G6">
        <f>T_All_K1_N10_P10[[#This Row],[5]]</f>
        <v>5.7926663840003281</v>
      </c>
      <c r="H6">
        <f>T_All_K1_N10_P10[[#This Row],[6]]</f>
        <v>6.0167430582630486</v>
      </c>
      <c r="I6">
        <f>T_All_K1_N10_P10[[#This Row],[7]]</f>
        <v>7.8489251671269962</v>
      </c>
      <c r="J6">
        <f>T_All_K1_N10_P10[[#This Row],[8]]</f>
        <v>10.077309440949223</v>
      </c>
      <c r="L6" s="3">
        <f t="shared" si="0"/>
        <v>0.19004294021448609</v>
      </c>
    </row>
    <row r="7" spans="1:12" x14ac:dyDescent="0.25">
      <c r="A7" t="str">
        <f>T_All_K1_N10_P10[[#This Row],[Identifier]]</f>
        <v>5b3a7e9f258c6e42c84dcbf76b3fb29243536b9fcbc464bc101a1ef6c814c190</v>
      </c>
      <c r="B7">
        <f>T_All_K1_N10_P10[[#This Row],[0]]</f>
        <v>5.9353373015873032</v>
      </c>
      <c r="C7">
        <f>T_All_K1_N10_P10[[#This Row],[1]]</f>
        <v>6.5629768758615521</v>
      </c>
      <c r="D7">
        <f>T_All_K1_N10_P10[[#This Row],[2]]</f>
        <v>6.2676774382694633</v>
      </c>
      <c r="E7">
        <f>T_All_K1_N10_P10[[#This Row],[3]]</f>
        <v>7.9115895312088389</v>
      </c>
      <c r="F7">
        <f>T_All_K1_N10_P10[[#This Row],[4]]</f>
        <v>5.4716444140321459</v>
      </c>
      <c r="G7">
        <f>T_All_K1_N10_P10[[#This Row],[5]]</f>
        <v>5.9068896084339482</v>
      </c>
      <c r="H7">
        <f>T_All_K1_N10_P10[[#This Row],[6]]</f>
        <v>5.5430001384153798</v>
      </c>
      <c r="I7">
        <f>T_All_K1_N10_P10[[#This Row],[7]]</f>
        <v>8.6257247427213048</v>
      </c>
      <c r="J7">
        <f>T_All_K1_N10_P10[[#This Row],[8]]</f>
        <v>5.7123947271285234</v>
      </c>
      <c r="L7" s="3">
        <f t="shared" si="0"/>
        <v>5.7739425500348525E-3</v>
      </c>
    </row>
    <row r="8" spans="1:12" x14ac:dyDescent="0.25">
      <c r="A8" t="str">
        <f>T_All_K1_N10_P10[[#This Row],[Identifier]]</f>
        <v>8001faf888c2bc2a9c689eb7d59c7d120bef7dccc006130a9132b510f98b0204</v>
      </c>
      <c r="B8">
        <f>T_All_K1_N10_P10[[#This Row],[0]]</f>
        <v>4.5728695050863726</v>
      </c>
      <c r="C8">
        <f>T_All_K1_N10_P10[[#This Row],[1]]</f>
        <v>4.5243611903294729</v>
      </c>
      <c r="D8">
        <f>T_All_K1_N10_P10[[#This Row],[2]]</f>
        <v>3.664077011652882</v>
      </c>
      <c r="E8">
        <f>T_All_K1_N10_P10[[#This Row],[3]]</f>
        <v>7.2146655868581604</v>
      </c>
      <c r="F8">
        <f>T_All_K1_N10_P10[[#This Row],[4]]</f>
        <v>3.9485227181112599</v>
      </c>
      <c r="G8">
        <f>T_All_K1_N10_P10[[#This Row],[5]]</f>
        <v>6.8508202624741168</v>
      </c>
      <c r="H8">
        <f>T_All_K1_N10_P10[[#This Row],[6]]</f>
        <v>5.6027931346652728</v>
      </c>
      <c r="I8">
        <f>T_All_K1_N10_P10[[#This Row],[7]]</f>
        <v>3.0459945715764771</v>
      </c>
      <c r="J8">
        <f>T_All_K1_N10_P10[[#This Row],[8]]</f>
        <v>6.9819450495368995</v>
      </c>
      <c r="L8" s="3">
        <f t="shared" si="0"/>
        <v>6.4848633018642202E-2</v>
      </c>
    </row>
    <row r="9" spans="1:12" x14ac:dyDescent="0.25">
      <c r="A9" t="str">
        <f>T_All_K1_N10_P10[[#This Row],[Identifier]]</f>
        <v>f118c7c854ef66836a33c577ab61f4b2c5a2fd161b97a7011824c1de46a8acb1</v>
      </c>
      <c r="B9">
        <f>T_All_K1_N10_P10[[#This Row],[0]]</f>
        <v>16.903561835790857</v>
      </c>
      <c r="C9">
        <f>T_All_K1_N10_P10[[#This Row],[1]]</f>
        <v>14.646055781515301</v>
      </c>
      <c r="D9">
        <f>T_All_K1_N10_P10[[#This Row],[2]]</f>
        <v>7.3297012948407891</v>
      </c>
      <c r="E9">
        <f>T_All_K1_N10_P10[[#This Row],[3]]</f>
        <v>7.2293602658500546</v>
      </c>
      <c r="F9">
        <f>T_All_K1_N10_P10[[#This Row],[4]]</f>
        <v>10.612156575492442</v>
      </c>
      <c r="G9">
        <f>T_All_K1_N10_P10[[#This Row],[5]]</f>
        <v>12.735602276775776</v>
      </c>
      <c r="H9">
        <f>T_All_K1_N10_P10[[#This Row],[6]]</f>
        <v>7.9919092016649254</v>
      </c>
      <c r="I9">
        <f>T_All_K1_N10_P10[[#This Row],[7]]</f>
        <v>12.069182988399884</v>
      </c>
      <c r="J9">
        <f>T_All_K1_N10_P10[[#This Row],[8]]</f>
        <v>11.922180696785153</v>
      </c>
      <c r="L9" s="3">
        <f t="shared" si="0"/>
        <v>8.0873765945163212E-2</v>
      </c>
    </row>
    <row r="10" spans="1:12" x14ac:dyDescent="0.25">
      <c r="A10" t="str">
        <f>T_All_K1_N10_P10[[#This Row],[Identifier]]</f>
        <v>8e28741218970816587e9c1a3c2cf35e70e897d967bafe3ab109b76341a8f65e</v>
      </c>
      <c r="B10">
        <f>T_All_K1_N10_P10[[#This Row],[0]]</f>
        <v>8.0878435716901134</v>
      </c>
      <c r="C10">
        <f>T_All_K1_N10_P10[[#This Row],[1]]</f>
        <v>6.288719887759509</v>
      </c>
      <c r="D10">
        <f>T_All_K1_N10_P10[[#This Row],[2]]</f>
        <v>5.3928835249974485</v>
      </c>
      <c r="E10">
        <f>T_All_K1_N10_P10[[#This Row],[3]]</f>
        <v>6.6617573239538839</v>
      </c>
      <c r="F10">
        <f>T_All_K1_N10_P10[[#This Row],[4]]</f>
        <v>2.3861367014006358</v>
      </c>
      <c r="G10">
        <f>T_All_K1_N10_P10[[#This Row],[5]]</f>
        <v>6.0093821015529771</v>
      </c>
      <c r="H10">
        <f>T_All_K1_N10_P10[[#This Row],[6]]</f>
        <v>2.5339347652973871</v>
      </c>
      <c r="I10">
        <f>T_All_K1_N10_P10[[#This Row],[7]]</f>
        <v>7.4191235545933081</v>
      </c>
      <c r="J10">
        <f>T_All_K1_N10_P10[[#This Row],[8]]</f>
        <v>11.022134243831342</v>
      </c>
      <c r="L10" s="3">
        <f t="shared" si="0"/>
        <v>2.2350667489488149E-2</v>
      </c>
    </row>
    <row r="11" spans="1:12" x14ac:dyDescent="0.25">
      <c r="A11" t="str">
        <f>T_All_K1_N10_P10[[#This Row],[Identifier]]</f>
        <v>0469e2c562078156e98ee780a4c44dab154993760427482cf280123ad2cb1bf8</v>
      </c>
      <c r="B11">
        <f>T_All_K1_N10_P10[[#This Row],[0]]</f>
        <v>9.6786731301851656</v>
      </c>
      <c r="C11">
        <f>T_All_K1_N10_P10[[#This Row],[1]]</f>
        <v>6.6690524714309447</v>
      </c>
      <c r="D11">
        <f>T_All_K1_N10_P10[[#This Row],[2]]</f>
        <v>6.5207418115818747</v>
      </c>
      <c r="E11">
        <f>T_All_K1_N10_P10[[#This Row],[3]]</f>
        <v>7.8252476208077484</v>
      </c>
      <c r="F11">
        <f>T_All_K1_N10_P10[[#This Row],[4]]</f>
        <v>8.9384153533229149</v>
      </c>
      <c r="G11">
        <f>T_All_K1_N10_P10[[#This Row],[5]]</f>
        <v>10.81099100421123</v>
      </c>
      <c r="H11">
        <f>T_All_K1_N10_P10[[#This Row],[6]]</f>
        <v>6.2852726716550595</v>
      </c>
      <c r="I11">
        <f>T_All_K1_N10_P10[[#This Row],[7]]</f>
        <v>7.8634665972077524</v>
      </c>
      <c r="J11">
        <f>T_All_K1_N10_P10[[#This Row],[8]]</f>
        <v>6.3870656402894523</v>
      </c>
      <c r="L11" s="3">
        <f t="shared" si="0"/>
        <v>3.9586340155369326E-2</v>
      </c>
    </row>
    <row r="14" spans="1:12" x14ac:dyDescent="0.25">
      <c r="K14" s="2" t="s">
        <v>16</v>
      </c>
      <c r="L14" s="3">
        <f>AVERAGE(L2:L11)</f>
        <v>5.0536436293434163E-2</v>
      </c>
    </row>
    <row r="15" spans="1:12" x14ac:dyDescent="0.25">
      <c r="L15" s="3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17</v>
      </c>
    </row>
    <row r="18" spans="1:12" x14ac:dyDescent="0.25">
      <c r="A18" s="6" t="s">
        <v>18</v>
      </c>
      <c r="B18" s="5">
        <f>AVERAGE(B2:B11)</f>
        <v>7.6960823785525871</v>
      </c>
      <c r="C18" s="5">
        <f t="shared" ref="C18:J18" si="1">AVERAGE(C2:C11)</f>
        <v>6.3201886032621903</v>
      </c>
      <c r="D18" s="5">
        <f t="shared" si="1"/>
        <v>5.2969011877647034</v>
      </c>
      <c r="E18" s="5">
        <f t="shared" si="1"/>
        <v>7.1164488695864705</v>
      </c>
      <c r="F18" s="5">
        <f t="shared" si="1"/>
        <v>6.3047139823523972</v>
      </c>
      <c r="G18" s="5">
        <f t="shared" si="1"/>
        <v>6.5867238230788647</v>
      </c>
      <c r="H18" s="5">
        <f t="shared" si="1"/>
        <v>5.7276387030094558</v>
      </c>
      <c r="I18" s="5">
        <f t="shared" si="1"/>
        <v>6.1975635691697004</v>
      </c>
      <c r="J18" s="5">
        <f t="shared" si="1"/>
        <v>7.9458903675369994</v>
      </c>
      <c r="K18" s="5"/>
      <c r="L18" s="5">
        <f>RSQ(B1:J1,B18:J18)</f>
        <v>2.5504809128545939E-3</v>
      </c>
    </row>
  </sheetData>
  <conditionalFormatting sqref="L1:L1048576">
    <cfRule type="containsBlanks" dxfId="7" priority="1">
      <formula>LEN(TRIM(L1))=0</formula>
    </cfRule>
    <cfRule type="cellIs" dxfId="6" priority="2" operator="between">
      <formula>0</formula>
      <formula>0.1</formula>
    </cfRule>
    <cfRule type="cellIs" dxfId="5" priority="3" operator="greaterThan">
      <formula>0.2</formula>
    </cfRule>
    <cfRule type="cellIs" dxfId="4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zoomScaleNormal="100" workbookViewId="0">
      <selection activeCell="C33" sqref="C33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0.7109375" customWidth="1"/>
  </cols>
  <sheetData>
    <row r="1" spans="1:12" x14ac:dyDescent="0.25">
      <c r="A1" s="2" t="s">
        <v>19</v>
      </c>
      <c r="B1" s="2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K1" s="2" t="s">
        <v>35</v>
      </c>
      <c r="L1" s="2" t="s">
        <v>29</v>
      </c>
    </row>
    <row r="2" spans="1:12" x14ac:dyDescent="0.25">
      <c r="A2" t="str">
        <f>T_All_K1_N10_P10[[#This Row],[Identifier]]</f>
        <v>d25aa1037abc0ee33ddf41d15dc8098b5dab31e232686a7a8490057d92d238a8</v>
      </c>
      <c r="B2">
        <f>(T_All_K1_N10_P10[[#This Row],[1]]-T_All_K1_N10_P10[[#This Row],[0]])/(ABS(T_All_K1_N10_P10[[#This Row],[0]]))</f>
        <v>-0.24888631378367326</v>
      </c>
      <c r="C2">
        <f>(T_All_K1_N10_P10[[#This Row],[2]]-T_All_K1_N10_P10[[#This Row],[1]])/(ABS(T_All_K1_N10_P10[[#This Row],[1]]))</f>
        <v>-7.6080107054051091E-2</v>
      </c>
      <c r="D2">
        <f>(T_All_K1_N10_P10[[#This Row],[3]]-T_All_K1_N10_P10[[#This Row],[2]])/(ABS(T_All_K1_N10_P10[[#This Row],[2]]))</f>
        <v>-9.4825202415512955E-2</v>
      </c>
      <c r="E2">
        <f>(T_All_K1_N10_P10[[#This Row],[4]]-T_All_K1_N10_P10[[#This Row],[3]])/(ABS(T_All_K1_N10_P10[[#This Row],[3]]))</f>
        <v>0.24557784562448776</v>
      </c>
      <c r="F2">
        <f>(T_All_K1_N10_P10[[#This Row],[5]]-T_All_K1_N10_P10[[#This Row],[4]])/(ABS(T_All_K1_N10_P10[[#This Row],[4]]))</f>
        <v>0.11832997746362552</v>
      </c>
      <c r="G2">
        <f>(T_All_K1_N10_P10[[#This Row],[6]]-T_All_K1_N10_P10[[#This Row],[5]])/(ABS(T_All_K1_N10_P10[[#This Row],[5]]))</f>
        <v>-3.4797381867223108E-2</v>
      </c>
      <c r="H2">
        <f>(T_All_K1_N10_P10[[#This Row],[7]]-T_All_K1_N10_P10[[#This Row],[6]])/(ABS(T_All_K1_N10_P10[[#This Row],[6]]))</f>
        <v>-0.3594779367271182</v>
      </c>
      <c r="I2">
        <f>(T_All_K1_N10_P10[[#This Row],[8]]-T_All_K1_N10_P10[[#This Row],[7]])/(ABS(T_All_K1_N10_P10[[#This Row],[7]]))</f>
        <v>0.65158197371510962</v>
      </c>
      <c r="K2">
        <f>AVERAGE(B2:I2)</f>
        <v>2.5177856869455534E-2</v>
      </c>
      <c r="L2">
        <f>(T_All_K1_N10_P10[[#This Row],[8]]-T_All_K1_N10_P10[[#This Row],[0]])/ABS(T_All_K1_N10_P10[[#This Row],[0]])</f>
        <v>-0.10655873336390893</v>
      </c>
    </row>
    <row r="3" spans="1:12" x14ac:dyDescent="0.25">
      <c r="A3" t="str">
        <f>T_All_K1_N10_P10[[#This Row],[Identifier]]</f>
        <v>2717b7cd07b3492daa233fba3b311ad11022633fc6887c63a275c09f741c88ad</v>
      </c>
      <c r="B3">
        <f>(T_All_K1_N10_P10[[#This Row],[1]]-T_All_K1_N10_P10[[#This Row],[0]])/(ABS(T_All_K1_N10_P10[[#This Row],[0]]))</f>
        <v>-0.46060528715079846</v>
      </c>
      <c r="C3">
        <f>(T_All_K1_N10_P10[[#This Row],[2]]-T_All_K1_N10_P10[[#This Row],[1]])/(ABS(T_All_K1_N10_P10[[#This Row],[1]]))</f>
        <v>0.44819695684567251</v>
      </c>
      <c r="D3">
        <f>(T_All_K1_N10_P10[[#This Row],[3]]-T_All_K1_N10_P10[[#This Row],[2]])/(ABS(T_All_K1_N10_P10[[#This Row],[2]]))</f>
        <v>-0.24239799520539057</v>
      </c>
      <c r="E3">
        <f>(T_All_K1_N10_P10[[#This Row],[4]]-T_All_K1_N10_P10[[#This Row],[3]])/(ABS(T_All_K1_N10_P10[[#This Row],[3]]))</f>
        <v>-0.39894988809726589</v>
      </c>
      <c r="F3">
        <f>(T_All_K1_N10_P10[[#This Row],[5]]-T_All_K1_N10_P10[[#This Row],[4]])/(ABS(T_All_K1_N10_P10[[#This Row],[4]]))</f>
        <v>-0.13454030862878852</v>
      </c>
      <c r="G3">
        <f>(T_All_K1_N10_P10[[#This Row],[6]]-T_All_K1_N10_P10[[#This Row],[5]])/(ABS(T_All_K1_N10_P10[[#This Row],[5]]))</f>
        <v>1.3599890576244169</v>
      </c>
      <c r="H3">
        <f>(T_All_K1_N10_P10[[#This Row],[7]]-T_All_K1_N10_P10[[#This Row],[6]])/(ABS(T_All_K1_N10_P10[[#This Row],[6]]))</f>
        <v>-0.25264717318367363</v>
      </c>
      <c r="I3">
        <f>(T_All_K1_N10_P10[[#This Row],[8]]-T_All_K1_N10_P10[[#This Row],[7]])/(ABS(T_All_K1_N10_P10[[#This Row],[7]]))</f>
        <v>0.7788847794183994</v>
      </c>
      <c r="K3">
        <f t="shared" ref="K3:K10" si="0">AVERAGE(B3:I3)</f>
        <v>0.13724126770282147</v>
      </c>
      <c r="L3">
        <f>(T_All_K1_N10_P10[[#This Row],[8]]-T_All_K1_N10_P10[[#This Row],[0]])/ABS(T_All_K1_N10_P10[[#This Row],[0]])</f>
        <v>-3.4134955451075394E-2</v>
      </c>
    </row>
    <row r="4" spans="1:12" x14ac:dyDescent="0.25">
      <c r="A4" t="str">
        <f>T_All_K1_N10_P10[[#This Row],[Identifier]]</f>
        <v>9b563802ec83c693bed1ac3dc42c6e4b8015c6a100b0f60b7f0790385e7c0666</v>
      </c>
      <c r="B4">
        <f>(T_All_K1_N10_P10[[#This Row],[1]]-T_All_K1_N10_P10[[#This Row],[0]])/(ABS(T_All_K1_N10_P10[[#This Row],[0]]))</f>
        <v>-0.47610614057398593</v>
      </c>
      <c r="C4">
        <f>(T_All_K1_N10_P10[[#This Row],[2]]-T_All_K1_N10_P10[[#This Row],[1]])/(ABS(T_All_K1_N10_P10[[#This Row],[1]]))</f>
        <v>0.31110016247295275</v>
      </c>
      <c r="D4">
        <f>(T_All_K1_N10_P10[[#This Row],[3]]-T_All_K1_N10_P10[[#This Row],[2]])/(ABS(T_All_K1_N10_P10[[#This Row],[2]]))</f>
        <v>0.65325440063615881</v>
      </c>
      <c r="E4">
        <f>(T_All_K1_N10_P10[[#This Row],[4]]-T_All_K1_N10_P10[[#This Row],[3]])/(ABS(T_All_K1_N10_P10[[#This Row],[3]]))</f>
        <v>-0.25403079503122217</v>
      </c>
      <c r="F4">
        <f>(T_All_K1_N10_P10[[#This Row],[5]]-T_All_K1_N10_P10[[#This Row],[4]])/(ABS(T_All_K1_N10_P10[[#This Row],[4]]))</f>
        <v>5.8021799403416771E-2</v>
      </c>
      <c r="G4">
        <f>(T_All_K1_N10_P10[[#This Row],[6]]-T_All_K1_N10_P10[[#This Row],[5]])/(ABS(T_All_K1_N10_P10[[#This Row],[5]]))</f>
        <v>0.21212673329612833</v>
      </c>
      <c r="H4">
        <f>(T_All_K1_N10_P10[[#This Row],[7]]-T_All_K1_N10_P10[[#This Row],[6]])/(ABS(T_All_K1_N10_P10[[#This Row],[6]]))</f>
        <v>-0.57883835894422653</v>
      </c>
      <c r="I4">
        <f>(T_All_K1_N10_P10[[#This Row],[8]]-T_All_K1_N10_P10[[#This Row],[7]])/(ABS(T_All_K1_N10_P10[[#This Row],[7]]))</f>
        <v>0.6544245962334907</v>
      </c>
      <c r="K4">
        <f t="shared" si="0"/>
        <v>7.2494049686589096E-2</v>
      </c>
      <c r="L4">
        <f>(T_All_K1_N10_P10[[#This Row],[8]]-T_All_K1_N10_P10[[#This Row],[0]])/ABS(T_All_K1_N10_P10[[#This Row],[0]])</f>
        <v>-0.24303081753463657</v>
      </c>
    </row>
    <row r="5" spans="1:12" x14ac:dyDescent="0.25">
      <c r="A5" t="str">
        <f>T_All_K1_N10_P10[[#This Row],[Identifier]]</f>
        <v>34cd6f7890246a1380e1ca79e6988afe4cfc530950e823b14ee9269cbc9f994a</v>
      </c>
      <c r="B5">
        <f>(T_All_K1_N10_P10[[#This Row],[1]]-T_All_K1_N10_P10[[#This Row],[0]])/(ABS(T_All_K1_N10_P10[[#This Row],[0]]))</f>
        <v>0.17004608762638007</v>
      </c>
      <c r="C5">
        <f>(T_All_K1_N10_P10[[#This Row],[2]]-T_All_K1_N10_P10[[#This Row],[1]])/(ABS(T_All_K1_N10_P10[[#This Row],[1]]))</f>
        <v>-0.58452430573394487</v>
      </c>
      <c r="D5">
        <f>(T_All_K1_N10_P10[[#This Row],[3]]-T_All_K1_N10_P10[[#This Row],[2]])/(ABS(T_All_K1_N10_P10[[#This Row],[2]]))</f>
        <v>2.4510341045738389</v>
      </c>
      <c r="E5">
        <f>(T_All_K1_N10_P10[[#This Row],[4]]-T_All_K1_N10_P10[[#This Row],[3]])/(ABS(T_All_K1_N10_P10[[#This Row],[3]]))</f>
        <v>-3.2629189658110673E-2</v>
      </c>
      <c r="F5">
        <f>(T_All_K1_N10_P10[[#This Row],[5]]-T_All_K1_N10_P10[[#This Row],[4]])/(ABS(T_All_K1_N10_P10[[#This Row],[4]]))</f>
        <v>-0.69915532274380177</v>
      </c>
      <c r="G5">
        <f>(T_All_K1_N10_P10[[#This Row],[6]]-T_All_K1_N10_P10[[#This Row],[5]])/(ABS(T_All_K1_N10_P10[[#This Row],[5]]))</f>
        <v>0.66458480164745926</v>
      </c>
      <c r="H5">
        <f>(T_All_K1_N10_P10[[#This Row],[7]]-T_All_K1_N10_P10[[#This Row],[6]])/(ABS(T_All_K1_N10_P10[[#This Row],[6]]))</f>
        <v>0.11503124478357279</v>
      </c>
      <c r="I5">
        <f>(T_All_K1_N10_P10[[#This Row],[8]]-T_All_K1_N10_P10[[#This Row],[7]])/(ABS(T_All_K1_N10_P10[[#This Row],[7]]))</f>
        <v>1.2097517477188102</v>
      </c>
      <c r="K5">
        <f t="shared" si="0"/>
        <v>0.41176739602677548</v>
      </c>
      <c r="L5">
        <f>(T_All_K1_N10_P10[[#This Row],[8]]-T_All_K1_N10_P10[[#This Row],[0]])/ABS(T_All_K1_N10_P10[[#This Row],[0]])</f>
        <v>1.0024865196846715</v>
      </c>
    </row>
    <row r="6" spans="1:12" x14ac:dyDescent="0.25">
      <c r="A6" t="str">
        <f>T_All_K1_N10_P10[[#This Row],[Identifier]]</f>
        <v>a6772773acf295d82a4a4f90cc6b276e4eef57c35f5dd6a217f40522f7e65019</v>
      </c>
      <c r="B6">
        <f>(T_All_K1_N10_P10[[#This Row],[1]]-T_All_K1_N10_P10[[#This Row],[0]])/(ABS(T_All_K1_N10_P10[[#This Row],[0]]))</f>
        <v>0.20894133723033143</v>
      </c>
      <c r="C6">
        <f>(T_All_K1_N10_P10[[#This Row],[2]]-T_All_K1_N10_P10[[#This Row],[1]])/(ABS(T_All_K1_N10_P10[[#This Row],[1]]))</f>
        <v>-0.12131181223669123</v>
      </c>
      <c r="D6">
        <f>(T_All_K1_N10_P10[[#This Row],[3]]-T_All_K1_N10_P10[[#This Row],[2]])/(ABS(T_All_K1_N10_P10[[#This Row],[2]]))</f>
        <v>0.81492203691863851</v>
      </c>
      <c r="E6">
        <f>(T_All_K1_N10_P10[[#This Row],[4]]-T_All_K1_N10_P10[[#This Row],[3]])/(ABS(T_All_K1_N10_P10[[#This Row],[3]]))</f>
        <v>3.5296599147985927E-2</v>
      </c>
      <c r="F6">
        <f>(T_All_K1_N10_P10[[#This Row],[5]]-T_All_K1_N10_P10[[#This Row],[4]])/(ABS(T_All_K1_N10_P10[[#This Row],[4]]))</f>
        <v>-0.44450605238104041</v>
      </c>
      <c r="G6">
        <f>(T_All_K1_N10_P10[[#This Row],[6]]-T_All_K1_N10_P10[[#This Row],[5]])/(ABS(T_All_K1_N10_P10[[#This Row],[5]]))</f>
        <v>3.8682820554215402E-2</v>
      </c>
      <c r="H6">
        <f>(T_All_K1_N10_P10[[#This Row],[7]]-T_All_K1_N10_P10[[#This Row],[6]])/(ABS(T_All_K1_N10_P10[[#This Row],[6]]))</f>
        <v>0.30451393571605723</v>
      </c>
      <c r="I6">
        <f>(T_All_K1_N10_P10[[#This Row],[8]]-T_All_K1_N10_P10[[#This Row],[7]])/(ABS(T_All_K1_N10_P10[[#This Row],[7]]))</f>
        <v>0.28390948140965655</v>
      </c>
      <c r="K6">
        <f t="shared" si="0"/>
        <v>0.14005604329489418</v>
      </c>
      <c r="L6">
        <f>(T_All_K1_N10_P10[[#This Row],[8]]-T_All_K1_N10_P10[[#This Row],[0]])/ABS(T_All_K1_N10_P10[[#This Row],[0]])</f>
        <v>0.92889321810568137</v>
      </c>
    </row>
    <row r="7" spans="1:12" x14ac:dyDescent="0.25">
      <c r="A7" t="str">
        <f>T_All_K1_N10_P10[[#This Row],[Identifier]]</f>
        <v>5b3a7e9f258c6e42c84dcbf76b3fb29243536b9fcbc464bc101a1ef6c814c190</v>
      </c>
      <c r="B7">
        <f>(T_All_K1_N10_P10[[#This Row],[1]]-T_All_K1_N10_P10[[#This Row],[0]])/(ABS(T_All_K1_N10_P10[[#This Row],[0]]))</f>
        <v>0.10574623519819128</v>
      </c>
      <c r="C7">
        <f>(T_All_K1_N10_P10[[#This Row],[2]]-T_All_K1_N10_P10[[#This Row],[1]])/(ABS(T_All_K1_N10_P10[[#This Row],[1]]))</f>
        <v>-4.4994739914167907E-2</v>
      </c>
      <c r="D7">
        <f>(T_All_K1_N10_P10[[#This Row],[3]]-T_All_K1_N10_P10[[#This Row],[2]])/(ABS(T_All_K1_N10_P10[[#This Row],[2]]))</f>
        <v>0.26228409313183604</v>
      </c>
      <c r="E7">
        <f>(T_All_K1_N10_P10[[#This Row],[4]]-T_All_K1_N10_P10[[#This Row],[3]])/(ABS(T_All_K1_N10_P10[[#This Row],[3]]))</f>
        <v>-0.308401378452692</v>
      </c>
      <c r="F7">
        <f>(T_All_K1_N10_P10[[#This Row],[5]]-T_All_K1_N10_P10[[#This Row],[4]])/(ABS(T_All_K1_N10_P10[[#This Row],[4]]))</f>
        <v>7.9545592050098687E-2</v>
      </c>
      <c r="G7">
        <f>(T_All_K1_N10_P10[[#This Row],[6]]-T_All_K1_N10_P10[[#This Row],[5]])/(ABS(T_All_K1_N10_P10[[#This Row],[5]]))</f>
        <v>-6.1604244220003948E-2</v>
      </c>
      <c r="H7">
        <f>(T_All_K1_N10_P10[[#This Row],[7]]-T_All_K1_N10_P10[[#This Row],[6]])/(ABS(T_All_K1_N10_P10[[#This Row],[6]]))</f>
        <v>0.55614730783449107</v>
      </c>
      <c r="I7">
        <f>(T_All_K1_N10_P10[[#This Row],[8]]-T_All_K1_N10_P10[[#This Row],[7]])/(ABS(T_All_K1_N10_P10[[#This Row],[7]]))</f>
        <v>-0.33774901269034274</v>
      </c>
      <c r="K7">
        <f t="shared" si="0"/>
        <v>3.137173161717631E-2</v>
      </c>
      <c r="L7">
        <f>(T_All_K1_N10_P10[[#This Row],[8]]-T_All_K1_N10_P10[[#This Row],[0]])/ABS(T_All_K1_N10_P10[[#This Row],[0]])</f>
        <v>-3.7561904763046529E-2</v>
      </c>
    </row>
    <row r="8" spans="1:12" x14ac:dyDescent="0.25">
      <c r="A8" t="str">
        <f>T_All_K1_N10_P10[[#This Row],[Identifier]]</f>
        <v>8001faf888c2bc2a9c689eb7d59c7d120bef7dccc006130a9132b510f98b0204</v>
      </c>
      <c r="B8">
        <f>(T_All_K1_N10_P10[[#This Row],[1]]-T_All_K1_N10_P10[[#This Row],[0]])/(ABS(T_All_K1_N10_P10[[#This Row],[0]]))</f>
        <v>-1.0607850213732138E-2</v>
      </c>
      <c r="C8">
        <f>(T_All_K1_N10_P10[[#This Row],[2]]-T_All_K1_N10_P10[[#This Row],[1]])/(ABS(T_All_K1_N10_P10[[#This Row],[1]]))</f>
        <v>-0.19014489393892606</v>
      </c>
      <c r="D8">
        <f>(T_All_K1_N10_P10[[#This Row],[3]]-T_All_K1_N10_P10[[#This Row],[2]])/(ABS(T_All_K1_N10_P10[[#This Row],[2]]))</f>
        <v>0.96902673276607565</v>
      </c>
      <c r="E8">
        <f>(T_All_K1_N10_P10[[#This Row],[4]]-T_All_K1_N10_P10[[#This Row],[3]])/(ABS(T_All_K1_N10_P10[[#This Row],[3]]))</f>
        <v>-0.45270883721850219</v>
      </c>
      <c r="F8">
        <f>(T_All_K1_N10_P10[[#This Row],[5]]-T_All_K1_N10_P10[[#This Row],[4]])/(ABS(T_All_K1_N10_P10[[#This Row],[4]]))</f>
        <v>0.73503377125081981</v>
      </c>
      <c r="G8">
        <f>(T_All_K1_N10_P10[[#This Row],[6]]-T_All_K1_N10_P10[[#This Row],[5]])/(ABS(T_All_K1_N10_P10[[#This Row],[5]]))</f>
        <v>-0.18217192686327013</v>
      </c>
      <c r="H8">
        <f>(T_All_K1_N10_P10[[#This Row],[7]]-T_All_K1_N10_P10[[#This Row],[6]])/(ABS(T_All_K1_N10_P10[[#This Row],[6]]))</f>
        <v>-0.45634355965590123</v>
      </c>
      <c r="I8">
        <f>(T_All_K1_N10_P10[[#This Row],[8]]-T_All_K1_N10_P10[[#This Row],[7]])/(ABS(T_All_K1_N10_P10[[#This Row],[7]]))</f>
        <v>1.2921725188509912</v>
      </c>
      <c r="K8">
        <f t="shared" si="0"/>
        <v>0.21303199437219436</v>
      </c>
      <c r="L8">
        <f>(T_All_K1_N10_P10[[#This Row],[8]]-T_All_K1_N10_P10[[#This Row],[0]])/ABS(T_All_K1_N10_P10[[#This Row],[0]])</f>
        <v>0.52681921969803169</v>
      </c>
    </row>
    <row r="9" spans="1:12" x14ac:dyDescent="0.25">
      <c r="A9" t="str">
        <f>T_All_K1_N10_P10[[#This Row],[Identifier]]</f>
        <v>f118c7c854ef66836a33c577ab61f4b2c5a2fd161b97a7011824c1de46a8acb1</v>
      </c>
      <c r="B9">
        <f>(T_All_K1_N10_P10[[#This Row],[1]]-T_All_K1_N10_P10[[#This Row],[0]])/(ABS(T_All_K1_N10_P10[[#This Row],[0]]))</f>
        <v>-0.13355209252381425</v>
      </c>
      <c r="C9">
        <f>(T_All_K1_N10_P10[[#This Row],[2]]-T_All_K1_N10_P10[[#This Row],[1]])/(ABS(T_All_K1_N10_P10[[#This Row],[1]]))</f>
        <v>-0.49954435486367865</v>
      </c>
      <c r="D9">
        <f>(T_All_K1_N10_P10[[#This Row],[3]]-T_All_K1_N10_P10[[#This Row],[2]])/(ABS(T_All_K1_N10_P10[[#This Row],[2]]))</f>
        <v>-1.3689647770689137E-2</v>
      </c>
      <c r="E9">
        <f>(T_All_K1_N10_P10[[#This Row],[4]]-T_All_K1_N10_P10[[#This Row],[3]])/(ABS(T_All_K1_N10_P10[[#This Row],[3]]))</f>
        <v>0.46792471051995993</v>
      </c>
      <c r="F9">
        <f>(T_All_K1_N10_P10[[#This Row],[5]]-T_All_K1_N10_P10[[#This Row],[4]])/(ABS(T_All_K1_N10_P10[[#This Row],[4]]))</f>
        <v>0.20009558718603795</v>
      </c>
      <c r="G9">
        <f>(T_All_K1_N10_P10[[#This Row],[6]]-T_All_K1_N10_P10[[#This Row],[5]])/(ABS(T_All_K1_N10_P10[[#This Row],[5]]))</f>
        <v>-0.37247496993222634</v>
      </c>
      <c r="H9">
        <f>(T_All_K1_N10_P10[[#This Row],[7]]-T_All_K1_N10_P10[[#This Row],[6]])/(ABS(T_All_K1_N10_P10[[#This Row],[6]]))</f>
        <v>0.51017518891300162</v>
      </c>
      <c r="I9">
        <f>(T_All_K1_N10_P10[[#This Row],[8]]-T_All_K1_N10_P10[[#This Row],[7]])/(ABS(T_All_K1_N10_P10[[#This Row],[7]]))</f>
        <v>-1.2179970405289254E-2</v>
      </c>
      <c r="K9">
        <f t="shared" si="0"/>
        <v>1.8344306390412724E-2</v>
      </c>
      <c r="L9">
        <f>(T_All_K1_N10_P10[[#This Row],[8]]-T_All_K1_N10_P10[[#This Row],[0]])/ABS(T_All_K1_N10_P10[[#This Row],[0]])</f>
        <v>-0.29469417081424498</v>
      </c>
    </row>
    <row r="10" spans="1:12" x14ac:dyDescent="0.25">
      <c r="A10" t="str">
        <f>T_All_K1_N10_P10[[#This Row],[Identifier]]</f>
        <v>8e28741218970816587e9c1a3c2cf35e70e897d967bafe3ab109b76341a8f65e</v>
      </c>
      <c r="B10">
        <f>(T_All_K1_N10_P10[[#This Row],[1]]-T_All_K1_N10_P10[[#This Row],[0]])/(ABS(T_All_K1_N10_P10[[#This Row],[0]]))</f>
        <v>-0.22244788341704316</v>
      </c>
      <c r="C10">
        <f>(T_All_K1_N10_P10[[#This Row],[2]]-T_All_K1_N10_P10[[#This Row],[1]])/(ABS(T_All_K1_N10_P10[[#This Row],[1]]))</f>
        <v>-0.14245130626754968</v>
      </c>
      <c r="D10">
        <f>(T_All_K1_N10_P10[[#This Row],[3]]-T_All_K1_N10_P10[[#This Row],[2]])/(ABS(T_All_K1_N10_P10[[#This Row],[2]]))</f>
        <v>0.2352867057252151</v>
      </c>
      <c r="E10">
        <f>(T_All_K1_N10_P10[[#This Row],[4]]-T_All_K1_N10_P10[[#This Row],[3]])/(ABS(T_All_K1_N10_P10[[#This Row],[3]]))</f>
        <v>-0.64181572738761716</v>
      </c>
      <c r="F10">
        <f>(T_All_K1_N10_P10[[#This Row],[5]]-T_All_K1_N10_P10[[#This Row],[4]])/(ABS(T_All_K1_N10_P10[[#This Row],[4]]))</f>
        <v>1.5184567581670976</v>
      </c>
      <c r="G10">
        <f>(T_All_K1_N10_P10[[#This Row],[6]]-T_All_K1_N10_P10[[#This Row],[5]])/(ABS(T_All_K1_N10_P10[[#This Row],[5]]))</f>
        <v>-0.57833688680861983</v>
      </c>
      <c r="H10">
        <f>(T_All_K1_N10_P10[[#This Row],[7]]-T_All_K1_N10_P10[[#This Row],[6]])/(ABS(T_All_K1_N10_P10[[#This Row],[6]]))</f>
        <v>1.9279062966416129</v>
      </c>
      <c r="I10">
        <f>(T_All_K1_N10_P10[[#This Row],[8]]-T_All_K1_N10_P10[[#This Row],[7]])/(ABS(T_All_K1_N10_P10[[#This Row],[7]]))</f>
        <v>0.48563831869430824</v>
      </c>
      <c r="K10">
        <f t="shared" si="0"/>
        <v>0.3227795344184255</v>
      </c>
      <c r="L10">
        <f>(T_All_K1_N10_P10[[#This Row],[8]]-T_All_K1_N10_P10[[#This Row],[0]])/ABS(T_All_K1_N10_P10[[#This Row],[0]])</f>
        <v>0.36280259949785987</v>
      </c>
    </row>
    <row r="11" spans="1:12" x14ac:dyDescent="0.25">
      <c r="A11" t="str">
        <f>T_All_K1_N10_P10[[#This Row],[Identifier]]</f>
        <v>0469e2c562078156e98ee780a4c44dab154993760427482cf280123ad2cb1bf8</v>
      </c>
      <c r="B11">
        <f>(T_All_K1_N10_P10[[#This Row],[1]]-T_All_K1_N10_P10[[#This Row],[0]])/(ABS(T_All_K1_N10_P10[[#This Row],[0]]))</f>
        <v>-0.31095384855678487</v>
      </c>
      <c r="C11">
        <f>(T_All_K1_N10_P10[[#This Row],[2]]-T_All_K1_N10_P10[[#This Row],[1]])/(ABS(T_All_K1_N10_P10[[#This Row],[1]]))</f>
        <v>-2.2238640419221013E-2</v>
      </c>
      <c r="D11">
        <f>(T_All_K1_N10_P10[[#This Row],[3]]-T_All_K1_N10_P10[[#This Row],[2]])/(ABS(T_All_K1_N10_P10[[#This Row],[2]]))</f>
        <v>0.20005481690884674</v>
      </c>
      <c r="E11">
        <f>(T_All_K1_N10_P10[[#This Row],[4]]-T_All_K1_N10_P10[[#This Row],[3]])/(ABS(T_All_K1_N10_P10[[#This Row],[3]]))</f>
        <v>0.14225335560694521</v>
      </c>
      <c r="F11">
        <f>(T_All_K1_N10_P10[[#This Row],[5]]-T_All_K1_N10_P10[[#This Row],[4]])/(ABS(T_All_K1_N10_P10[[#This Row],[4]]))</f>
        <v>0.20949749780783825</v>
      </c>
      <c r="G11">
        <f>(T_All_K1_N10_P10[[#This Row],[6]]-T_All_K1_N10_P10[[#This Row],[5]])/(ABS(T_All_K1_N10_P10[[#This Row],[5]]))</f>
        <v>-0.41862196821672104</v>
      </c>
      <c r="H11">
        <f>(T_All_K1_N10_P10[[#This Row],[7]]-T_All_K1_N10_P10[[#This Row],[6]])/(ABS(T_All_K1_N10_P10[[#This Row],[6]]))</f>
        <v>0.25109394739068935</v>
      </c>
      <c r="I11">
        <f>(T_All_K1_N10_P10[[#This Row],[8]]-T_All_K1_N10_P10[[#This Row],[7]])/(ABS(T_All_K1_N10_P10[[#This Row],[7]]))</f>
        <v>-0.18775446409889462</v>
      </c>
      <c r="K11">
        <f>AVERAGE(B11:I11)</f>
        <v>-1.708366294716275E-2</v>
      </c>
      <c r="L11">
        <f>(T_All_K1_N10_P10[[#This Row],[8]]-T_All_K1_N10_P10[[#This Row],[0]])/ABS(T_All_K1_N10_P10[[#This Row],[0]])</f>
        <v>-0.34008871315532696</v>
      </c>
    </row>
    <row r="14" spans="1:12" x14ac:dyDescent="0.25">
      <c r="J14" s="2" t="s">
        <v>28</v>
      </c>
      <c r="K14">
        <f>AVERAGE(K2:K11)</f>
        <v>0.13551805174315817</v>
      </c>
      <c r="L14">
        <f>AVERAGE(L2:L11)</f>
        <v>0.1764932261904005</v>
      </c>
    </row>
    <row r="17" spans="1:12" x14ac:dyDescent="0.25">
      <c r="A17" s="5"/>
      <c r="B17" s="6" t="s">
        <v>20</v>
      </c>
      <c r="C17" s="7" t="s">
        <v>21</v>
      </c>
      <c r="D17" s="7" t="s">
        <v>22</v>
      </c>
      <c r="E17" s="7" t="s">
        <v>23</v>
      </c>
      <c r="F17" s="7" t="s">
        <v>24</v>
      </c>
      <c r="G17" s="7" t="s">
        <v>25</v>
      </c>
      <c r="H17" s="7" t="s">
        <v>26</v>
      </c>
      <c r="I17" s="7" t="s">
        <v>27</v>
      </c>
      <c r="J17" s="5"/>
      <c r="K17" s="6" t="s">
        <v>28</v>
      </c>
      <c r="L17" s="6" t="s">
        <v>29</v>
      </c>
    </row>
    <row r="18" spans="1:12" x14ac:dyDescent="0.25">
      <c r="A18" s="5" t="s">
        <v>34</v>
      </c>
      <c r="B18" s="5">
        <f>AVERAGE(B2:B11)</f>
        <v>-0.13784257561649293</v>
      </c>
      <c r="C18" s="5">
        <f t="shared" ref="C18:I18" si="1">AVERAGE(C2:C11)</f>
        <v>-9.2199304110960514E-2</v>
      </c>
      <c r="D18" s="5">
        <f t="shared" si="1"/>
        <v>0.52349500452690179</v>
      </c>
      <c r="E18" s="5">
        <f t="shared" si="1"/>
        <v>-0.11974833049460314</v>
      </c>
      <c r="F18" s="5">
        <f t="shared" si="1"/>
        <v>0.1640779299575304</v>
      </c>
      <c r="G18" s="5">
        <f t="shared" si="1"/>
        <v>6.2737603521415566E-2</v>
      </c>
      <c r="H18" s="5">
        <f t="shared" si="1"/>
        <v>0.20175608927685054</v>
      </c>
      <c r="I18" s="5">
        <f t="shared" si="1"/>
        <v>0.48186799688462389</v>
      </c>
      <c r="J18" s="5"/>
      <c r="K18" s="5">
        <f>AVERAGE(B18:I18)</f>
        <v>0.1355180517431582</v>
      </c>
      <c r="L18" s="5">
        <f>(I18-B18)/(ABS(B18))</f>
        <v>4.4957849178999822</v>
      </c>
    </row>
  </sheetData>
  <conditionalFormatting sqref="A18:XFD1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K1:L25 K26 K27:L104857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53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P10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2025-12-17T22:48:40Z</dcterms:modified>
</cp:coreProperties>
</file>