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ECB7806F-F0E4-4EC3-B970-FF469782FF23}" xr6:coauthVersionLast="47" xr6:coauthVersionMax="47" xr10:uidLastSave="{00000000-0000-0000-0000-000000000000}"/>
  <bookViews>
    <workbookView xWindow="-120" yWindow="-120" windowWidth="26580" windowHeight="15840" activeTab="3" xr2:uid="{5CF18307-C3AA-4F8D-B283-B3AED6997DE3}"/>
  </bookViews>
  <sheets>
    <sheet name="T-All_K1 N10 P10" sheetId="2" r:id="rId1"/>
    <sheet name="R Squared" sheetId="1" r:id="rId2"/>
    <sheet name="Relative Change" sheetId="3" r:id="rId3"/>
    <sheet name="Graphs" sheetId="4" r:id="rId4"/>
  </sheets>
  <externalReferences>
    <externalReference r:id="rId5"/>
  </externalReferences>
  <definedNames>
    <definedName name="_xlchart.v1.0" hidden="1">'Relative Change'!$A$10</definedName>
    <definedName name="_xlchart.v1.1" hidden="1">'Relative Change'!$A$11</definedName>
    <definedName name="_xlchart.v1.10" hidden="1">'Relative Change'!$B$10:$I$10</definedName>
    <definedName name="_xlchart.v1.11" hidden="1">'Relative Change'!$B$11:$I$11</definedName>
    <definedName name="_xlchart.v1.12" hidden="1">'Relative Change'!$B$1:$I$1</definedName>
    <definedName name="_xlchart.v1.13" hidden="1">'Relative Change'!$B$2:$I$2</definedName>
    <definedName name="_xlchart.v1.14" hidden="1">'Relative Change'!$B$3:$I$3</definedName>
    <definedName name="_xlchart.v1.15" hidden="1">'Relative Change'!$B$4:$I$4</definedName>
    <definedName name="_xlchart.v1.16" hidden="1">'Relative Change'!$B$5:$I$5</definedName>
    <definedName name="_xlchart.v1.17" hidden="1">'Relative Change'!$B$6:$I$6</definedName>
    <definedName name="_xlchart.v1.18" hidden="1">'Relative Change'!$B$7:$I$7</definedName>
    <definedName name="_xlchart.v1.19" hidden="1">'Relative Change'!$B$8:$I$8</definedName>
    <definedName name="_xlchart.v1.2" hidden="1">'Relative Change'!$A$2</definedName>
    <definedName name="_xlchart.v1.20" hidden="1">'Relative Change'!$B$9:$I$9</definedName>
    <definedName name="_xlchart.v1.21" hidden="1">'Relative Change'!$A$10</definedName>
    <definedName name="_xlchart.v1.22" hidden="1">'Relative Change'!$A$11</definedName>
    <definedName name="_xlchart.v1.23" hidden="1">'Relative Change'!$A$2</definedName>
    <definedName name="_xlchart.v1.24" hidden="1">'Relative Change'!$A$3</definedName>
    <definedName name="_xlchart.v1.25" hidden="1">'Relative Change'!$A$4</definedName>
    <definedName name="_xlchart.v1.26" hidden="1">'Relative Change'!$A$5</definedName>
    <definedName name="_xlchart.v1.27" hidden="1">'Relative Change'!$A$6</definedName>
    <definedName name="_xlchart.v1.28" hidden="1">'Relative Change'!$A$7</definedName>
    <definedName name="_xlchart.v1.29" hidden="1">'Relative Change'!$A$8</definedName>
    <definedName name="_xlchart.v1.3" hidden="1">'Relative Change'!$A$3</definedName>
    <definedName name="_xlchart.v1.30" hidden="1">'Relative Change'!$A$9</definedName>
    <definedName name="_xlchart.v1.31" hidden="1">'Relative Change'!$B$10:$I$10</definedName>
    <definedName name="_xlchart.v1.32" hidden="1">'Relative Change'!$B$11:$I$11</definedName>
    <definedName name="_xlchart.v1.33" hidden="1">'Relative Change'!$B$1:$I$1</definedName>
    <definedName name="_xlchart.v1.34" hidden="1">'Relative Change'!$B$2:$I$2</definedName>
    <definedName name="_xlchart.v1.35" hidden="1">'Relative Change'!$B$3:$I$3</definedName>
    <definedName name="_xlchart.v1.36" hidden="1">'Relative Change'!$B$4:$I$4</definedName>
    <definedName name="_xlchart.v1.37" hidden="1">'Relative Change'!$B$5:$I$5</definedName>
    <definedName name="_xlchart.v1.38" hidden="1">'Relative Change'!$B$6:$I$6</definedName>
    <definedName name="_xlchart.v1.39" hidden="1">'Relative Change'!$B$7:$I$7</definedName>
    <definedName name="_xlchart.v1.4" hidden="1">'Relative Change'!$A$4</definedName>
    <definedName name="_xlchart.v1.40" hidden="1">'Relative Change'!$B$8:$I$8</definedName>
    <definedName name="_xlchart.v1.41" hidden="1">'Relative Change'!$B$9:$I$9</definedName>
    <definedName name="_xlchart.v1.5" hidden="1">'Relative Change'!$A$5</definedName>
    <definedName name="_xlchart.v1.6" hidden="1">'Relative Change'!$A$6</definedName>
    <definedName name="_xlchart.v1.7" hidden="1">'Relative Change'!$A$7</definedName>
    <definedName name="_xlchart.v1.8" hidden="1">'Relative Change'!$A$8</definedName>
    <definedName name="_xlchart.v1.9" hidden="1">'Relative Change'!$A$9</definedName>
    <definedName name="ExternalData_1" localSheetId="0" hidden="1">'T-All_K1 N10 P10'!$A$1:$L$11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C18" i="3"/>
  <c r="D18" i="3"/>
  <c r="E18" i="3"/>
  <c r="F18" i="3"/>
  <c r="G18" i="3"/>
  <c r="H18" i="3"/>
  <c r="I18" i="3"/>
  <c r="B18" i="3"/>
  <c r="L14" i="1"/>
  <c r="C18" i="1"/>
  <c r="D18" i="1"/>
  <c r="E18" i="1"/>
  <c r="F18" i="1"/>
  <c r="G18" i="1"/>
  <c r="H18" i="1"/>
  <c r="I18" i="1"/>
  <c r="J18" i="1"/>
  <c r="B18" i="1"/>
  <c r="L3" i="3" l="1"/>
  <c r="L4" i="3"/>
  <c r="L5" i="3"/>
  <c r="L6" i="3"/>
  <c r="L7" i="3"/>
  <c r="L8" i="3"/>
  <c r="L9" i="3"/>
  <c r="L10" i="3"/>
  <c r="L11" i="3"/>
  <c r="L2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C11" i="3"/>
  <c r="D11" i="3"/>
  <c r="E11" i="3"/>
  <c r="F11" i="3"/>
  <c r="G11" i="3"/>
  <c r="H11" i="3"/>
  <c r="I11" i="3"/>
  <c r="B4" i="3"/>
  <c r="C4" i="3"/>
  <c r="D4" i="3"/>
  <c r="E4" i="3"/>
  <c r="F4" i="3"/>
  <c r="G4" i="3"/>
  <c r="H4" i="3"/>
  <c r="I4" i="3"/>
  <c r="C3" i="3"/>
  <c r="D3" i="3"/>
  <c r="E3" i="3"/>
  <c r="F3" i="3"/>
  <c r="G3" i="3"/>
  <c r="H3" i="3"/>
  <c r="I3" i="3"/>
  <c r="B3" i="3"/>
  <c r="C2" i="3"/>
  <c r="D2" i="3"/>
  <c r="E2" i="3"/>
  <c r="F2" i="3"/>
  <c r="G2" i="3"/>
  <c r="H2" i="3"/>
  <c r="I2" i="3"/>
  <c r="B2" i="3"/>
  <c r="A3" i="3"/>
  <c r="A4" i="3"/>
  <c r="A5" i="3"/>
  <c r="A6" i="3"/>
  <c r="A7" i="3"/>
  <c r="A8" i="3"/>
  <c r="A9" i="3"/>
  <c r="A10" i="3"/>
  <c r="A11" i="3"/>
  <c r="A2" i="3"/>
  <c r="A3" i="1"/>
  <c r="B3" i="1"/>
  <c r="C3" i="1"/>
  <c r="D3" i="1"/>
  <c r="E3" i="1"/>
  <c r="F3" i="1"/>
  <c r="G3" i="1"/>
  <c r="H3" i="1"/>
  <c r="I3" i="1"/>
  <c r="J3" i="1"/>
  <c r="A4" i="1"/>
  <c r="B4" i="1"/>
  <c r="C4" i="1"/>
  <c r="D4" i="1"/>
  <c r="E4" i="1"/>
  <c r="F4" i="1"/>
  <c r="G4" i="1"/>
  <c r="H4" i="1"/>
  <c r="I4" i="1"/>
  <c r="J4" i="1"/>
  <c r="A5" i="1"/>
  <c r="B5" i="1"/>
  <c r="C5" i="1"/>
  <c r="D5" i="1"/>
  <c r="E5" i="1"/>
  <c r="F5" i="1"/>
  <c r="G5" i="1"/>
  <c r="H5" i="1"/>
  <c r="I5" i="1"/>
  <c r="J5" i="1"/>
  <c r="A6" i="1"/>
  <c r="B6" i="1"/>
  <c r="C6" i="1"/>
  <c r="D6" i="1"/>
  <c r="E6" i="1"/>
  <c r="F6" i="1"/>
  <c r="G6" i="1"/>
  <c r="H6" i="1"/>
  <c r="I6" i="1"/>
  <c r="J6" i="1"/>
  <c r="A7" i="1"/>
  <c r="B7" i="1"/>
  <c r="C7" i="1"/>
  <c r="D7" i="1"/>
  <c r="E7" i="1"/>
  <c r="F7" i="1"/>
  <c r="G7" i="1"/>
  <c r="H7" i="1"/>
  <c r="I7" i="1"/>
  <c r="J7" i="1"/>
  <c r="A8" i="1"/>
  <c r="B8" i="1"/>
  <c r="C8" i="1"/>
  <c r="D8" i="1"/>
  <c r="E8" i="1"/>
  <c r="F8" i="1"/>
  <c r="G8" i="1"/>
  <c r="H8" i="1"/>
  <c r="I8" i="1"/>
  <c r="J8" i="1"/>
  <c r="A9" i="1"/>
  <c r="B9" i="1"/>
  <c r="C9" i="1"/>
  <c r="D9" i="1"/>
  <c r="E9" i="1"/>
  <c r="F9" i="1"/>
  <c r="G9" i="1"/>
  <c r="H9" i="1"/>
  <c r="I9" i="1"/>
  <c r="J9" i="1"/>
  <c r="A10" i="1"/>
  <c r="B10" i="1"/>
  <c r="C10" i="1"/>
  <c r="D10" i="1"/>
  <c r="E10" i="1"/>
  <c r="F10" i="1"/>
  <c r="G10" i="1"/>
  <c r="H10" i="1"/>
  <c r="I10" i="1"/>
  <c r="J10" i="1"/>
  <c r="A11" i="1"/>
  <c r="B11" i="1"/>
  <c r="C11" i="1"/>
  <c r="D11" i="1"/>
  <c r="E11" i="1"/>
  <c r="F11" i="1"/>
  <c r="G11" i="1"/>
  <c r="H11" i="1"/>
  <c r="I11" i="1"/>
  <c r="J11" i="1"/>
  <c r="B2" i="1"/>
  <c r="C2" i="1"/>
  <c r="D2" i="1"/>
  <c r="E2" i="1"/>
  <c r="F2" i="1"/>
  <c r="G2" i="1"/>
  <c r="H2" i="1"/>
  <c r="I2" i="1"/>
  <c r="J2" i="1"/>
  <c r="A2" i="1"/>
  <c r="L10" i="1" l="1"/>
  <c r="K9" i="3"/>
  <c r="K10" i="3"/>
  <c r="L11" i="1"/>
  <c r="K11" i="3"/>
  <c r="L9" i="1"/>
  <c r="K2" i="3"/>
  <c r="L5" i="1"/>
  <c r="L7" i="1"/>
  <c r="K7" i="3"/>
  <c r="K8" i="3"/>
  <c r="L6" i="1"/>
  <c r="K4" i="3"/>
  <c r="K6" i="3"/>
  <c r="K5" i="3"/>
  <c r="L3" i="1"/>
  <c r="L8" i="1"/>
  <c r="L4" i="1"/>
  <c r="K3" i="3"/>
  <c r="L2" i="1"/>
  <c r="L18" i="1" l="1"/>
  <c r="L18" i="3"/>
  <c r="K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CC79DC-2169-4BCF-A7B0-20B0327080BD}" keepAlive="1" name="Query - T-All_K1 N10 P10" description="Connection to the 'T-All_K1 N10 P10' query in the workbook." type="5" refreshedVersion="8" background="1" saveData="1">
    <dbPr connection="Provider=Microsoft.Mashup.OleDb.1;Data Source=$Workbook$;Location=&quot;T-All_K1 N10 P10&quot;;Extended Properties=&quot;&quot;" command="SELECT * FROM [T-All_K1 N10 P10]"/>
  </connection>
</connections>
</file>

<file path=xl/sharedStrings.xml><?xml version="1.0" encoding="utf-8"?>
<sst xmlns="http://schemas.openxmlformats.org/spreadsheetml/2006/main" count="50" uniqueCount="39">
  <si>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</si>
  <si>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</si>
  <si>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</si>
  <si>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</si>
  <si>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</si>
  <si>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</si>
  <si>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</si>
  <si>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</si>
  <si>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</si>
  <si>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</si>
  <si>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</si>
  <si>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</si>
  <si>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d25aa1037abc0ee33ddf41d15dc8098b5dab31e232686a7a8490057d92d238a8</t>
  </si>
  <si>
    <t>2717b7cd07b3492daa233fba3b311ad11022633fc6887c63a275c09f741c88ad</t>
  </si>
  <si>
    <t>9b563802ec83c693bed1ac3dc42c6e4b8015c6a100b0f60b7f0790385e7c0666</t>
  </si>
  <si>
    <t>R Squared</t>
  </si>
  <si>
    <t>Ave RSQ</t>
  </si>
  <si>
    <t>RSQ of Ave</t>
  </si>
  <si>
    <t>T Averages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</si>
  <si>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</si>
  <si>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</si>
  <si>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</si>
  <si>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</si>
  <si>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</si>
  <si>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</si>
  <si>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</si>
  <si>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</si>
  <si>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</si>
  <si>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</si>
  <si>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</si>
  <si>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34cd6f7890246a1380e1ca79e6988afe4cfc530950e823b14ee9269cbc9f994a</t>
  </si>
  <si>
    <t>a6772773acf295d82a4a4f90cc6b276e4eef57c35f5dd6a217f40522f7e65019</t>
  </si>
  <si>
    <t>5b3a7e9f258c6e42c84dcbf76b3fb29243536b9fcbc464bc101a1ef6c814c190</t>
  </si>
  <si>
    <t>8001faf888c2bc2a9c689eb7d59c7d120bef7dccc006130a9132b510f98b0204</t>
  </si>
  <si>
    <t>Average per Timestep</t>
  </si>
  <si>
    <t>Average per ID</t>
  </si>
  <si>
    <t>f118c7c854ef66836a33c577ab61f4b2c5a2fd161b97a7011824c1de46a8acb1</t>
  </si>
  <si>
    <t>8e28741218970816587e9c1a3c2cf35e70e897d967bafe3ab109b76341a8f65e</t>
  </si>
  <si>
    <t>0469e2c562078156e98ee780a4c44dab154993760427482cf280123ad2cb1bf8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</si>
</sst>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0" fontId="1" fillId="0" borderId="0" xfId="0" applyFont="1"/>
    <xf numFmtId="2" fontId="0" fillId="0" borderId="0" xfId="0" applyNumberFormat="1"/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0" fillId="0" borderId="0" xfId="0" applyNumberFormat="1"/>
  </cellXfs>
  <cellStyles count="1">
    <cellStyle name="Normal" xfId="0" builtinId="0"/>
  </cellStyles>
  <dxfs count="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Relative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'Relative Change'!$A$2</c:f>
              <c:strCache>
                <c:ptCount val="1"/>
                <c:pt idx="0">
                  <c:v>d25aa1037abc0ee33ddf41d15dc8098b5dab31e232686a7a8490057d92d238a8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Change'!$B$2:$I$2</c:f>
              <c:numCache>
                <c:formatCode>General</c:formatCode>
                <c:ptCount val="8"/>
                <c:pt idx="0">
                  <c:v>-0.24888631378367326</c:v>
                </c:pt>
                <c:pt idx="1">
                  <c:v>-7.6080107054051091E-2</c:v>
                </c:pt>
                <c:pt idx="2">
                  <c:v>-9.4825202415512955E-2</c:v>
                </c:pt>
                <c:pt idx="3">
                  <c:v>0.24557784562448776</c:v>
                </c:pt>
                <c:pt idx="4">
                  <c:v>0.11832997746362552</c:v>
                </c:pt>
                <c:pt idx="5">
                  <c:v>-3.4797381867223108E-2</c:v>
                </c:pt>
                <c:pt idx="6">
                  <c:v>-0.3594779367271182</c:v>
                </c:pt>
                <c:pt idx="7">
                  <c:v>0.65158197371510962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F1-40C1-A514-D6FE71A6FDD9}"/>
            </c:ext>
          </c:extLst>
        </c:ser>
        <c:ser>
          <c:idx val="1"/>
          <c:order val="1"/>
          <c:tx>
            <c:strRef>
              <c:f>'Relative Change'!$A$3</c:f>
              <c:strCache>
                <c:ptCount val="1"/>
                <c:pt idx="0">
                  <c:v>2717b7cd07b3492daa233fba3b311ad11022633fc6887c63a275c09f741c88ad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Change'!$B$3:$I$3</c:f>
              <c:numCache>
                <c:formatCode>General</c:formatCode>
                <c:ptCount val="8"/>
                <c:pt idx="0">
                  <c:v>-0.46060528715079846</c:v>
                </c:pt>
                <c:pt idx="1">
                  <c:v>0.44819695684567251</c:v>
                </c:pt>
                <c:pt idx="2">
                  <c:v>-0.24239799520539057</c:v>
                </c:pt>
                <c:pt idx="3">
                  <c:v>-0.39894988809726589</c:v>
                </c:pt>
                <c:pt idx="4">
                  <c:v>-0.13454030862878852</c:v>
                </c:pt>
                <c:pt idx="5">
                  <c:v>1.3599890576244169</c:v>
                </c:pt>
                <c:pt idx="6">
                  <c:v>-0.25264717318367363</c:v>
                </c:pt>
                <c:pt idx="7">
                  <c:v>0.7788847794183994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F1-40C1-A514-D6FE71A6FDD9}"/>
            </c:ext>
          </c:extLst>
        </c:ser>
        <c:ser>
          <c:idx val="2"/>
          <c:order val="2"/>
          <c:tx>
            <c:strRef>
              <c:f>'Relative Change'!$A$4</c:f>
              <c:strCache>
                <c:ptCount val="1"/>
                <c:pt idx="0">
                  <c:v>9b563802ec83c693bed1ac3dc42c6e4b8015c6a100b0f60b7f0790385e7c0666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Change'!$B$4:$I$4</c:f>
              <c:numCache>
                <c:formatCode>General</c:formatCode>
                <c:ptCount val="8"/>
                <c:pt idx="0">
                  <c:v>-0.47610614057398593</c:v>
                </c:pt>
                <c:pt idx="1">
                  <c:v>0.31110016247295275</c:v>
                </c:pt>
                <c:pt idx="2">
                  <c:v>0.65325440063615881</c:v>
                </c:pt>
                <c:pt idx="3">
                  <c:v>-0.25403079503122217</c:v>
                </c:pt>
                <c:pt idx="4">
                  <c:v>5.8021799403416771E-2</c:v>
                </c:pt>
                <c:pt idx="5">
                  <c:v>0.21212673329612833</c:v>
                </c:pt>
                <c:pt idx="6">
                  <c:v>-0.57883835894422653</c:v>
                </c:pt>
                <c:pt idx="7">
                  <c:v>0.6544245962334907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F1-40C1-A514-D6FE71A6FDD9}"/>
            </c:ext>
          </c:extLst>
        </c:ser>
        <c:ser>
          <c:idx val="3"/>
          <c:order val="3"/>
          <c:tx>
            <c:strRef>
              <c:f>'Relative Change'!$A$5</c:f>
              <c:strCache>
                <c:ptCount val="1"/>
                <c:pt idx="0">
                  <c:v>34cd6f7890246a1380e1ca79e6988afe4cfc530950e823b14ee9269cbc9f994a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Change'!$B$5:$I$5</c:f>
              <c:numCache>
                <c:formatCode>General</c:formatCode>
                <c:ptCount val="8"/>
                <c:pt idx="0">
                  <c:v>0.17004608762638007</c:v>
                </c:pt>
                <c:pt idx="1">
                  <c:v>-0.58452430573394487</c:v>
                </c:pt>
                <c:pt idx="2">
                  <c:v>2.4510341045738389</c:v>
                </c:pt>
                <c:pt idx="3">
                  <c:v>-3.2629189658110673E-2</c:v>
                </c:pt>
                <c:pt idx="4">
                  <c:v>-0.69915532274380177</c:v>
                </c:pt>
                <c:pt idx="5">
                  <c:v>0.66458480164745926</c:v>
                </c:pt>
                <c:pt idx="6">
                  <c:v>0.11503124478357279</c:v>
                </c:pt>
                <c:pt idx="7">
                  <c:v>1.2097517477188102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F1-40C1-A514-D6FE71A6FDD9}"/>
            </c:ext>
          </c:extLst>
        </c:ser>
        <c:ser>
          <c:idx val="4"/>
          <c:order val="4"/>
          <c:tx>
            <c:strRef>
              <c:f>'Relative Change'!$A$6</c:f>
              <c:strCache>
                <c:ptCount val="1"/>
                <c:pt idx="0">
                  <c:v>a6772773acf295d82a4a4f90cc6b276e4eef57c35f5dd6a217f40522f7e65019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Change'!$B$6:$I$6</c:f>
              <c:numCache>
                <c:formatCode>General</c:formatCode>
                <c:ptCount val="8"/>
                <c:pt idx="0">
                  <c:v>0.20894133723033143</c:v>
                </c:pt>
                <c:pt idx="1">
                  <c:v>-0.12131181223669123</c:v>
                </c:pt>
                <c:pt idx="2">
                  <c:v>0.81492203691863851</c:v>
                </c:pt>
                <c:pt idx="3">
                  <c:v>3.5296599147985927E-2</c:v>
                </c:pt>
                <c:pt idx="4">
                  <c:v>-0.44450605238104041</c:v>
                </c:pt>
                <c:pt idx="5">
                  <c:v>3.8682820554215402E-2</c:v>
                </c:pt>
                <c:pt idx="6">
                  <c:v>0.30451393571605723</c:v>
                </c:pt>
                <c:pt idx="7">
                  <c:v>0.28390948140965655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F1-40C1-A514-D6FE71A6FDD9}"/>
            </c:ext>
          </c:extLst>
        </c:ser>
        <c:ser>
          <c:idx val="5"/>
          <c:order val="5"/>
          <c:tx>
            <c:strRef>
              <c:f>'Relative Change'!$A$7</c:f>
              <c:strCache>
                <c:ptCount val="1"/>
                <c:pt idx="0">
                  <c:v>5b3a7e9f258c6e42c84dcbf76b3fb29243536b9fcbc464bc101a1ef6c814c190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Change'!$B$7:$I$7</c:f>
              <c:numCache>
                <c:formatCode>General</c:formatCode>
                <c:ptCount val="8"/>
                <c:pt idx="0">
                  <c:v>0.10574623519819128</c:v>
                </c:pt>
                <c:pt idx="1">
                  <c:v>-4.4994739914167907E-2</c:v>
                </c:pt>
                <c:pt idx="2">
                  <c:v>0.26228409313183604</c:v>
                </c:pt>
                <c:pt idx="3">
                  <c:v>-0.308401378452692</c:v>
                </c:pt>
                <c:pt idx="4">
                  <c:v>7.9545592050098687E-2</c:v>
                </c:pt>
                <c:pt idx="5">
                  <c:v>-6.1604244220003948E-2</c:v>
                </c:pt>
                <c:pt idx="6">
                  <c:v>0.55614730783449107</c:v>
                </c:pt>
                <c:pt idx="7">
                  <c:v>-0.33774901269034274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4F1-40C1-A514-D6FE71A6FDD9}"/>
            </c:ext>
          </c:extLst>
        </c:ser>
        <c:ser>
          <c:idx val="6"/>
          <c:order val="6"/>
          <c:tx>
            <c:strRef>
              <c:f>'Relative Change'!$A$8</c:f>
              <c:strCache>
                <c:ptCount val="1"/>
                <c:pt idx="0">
                  <c:v>8001faf888c2bc2a9c689eb7d59c7d120bef7dccc006130a9132b510f98b0204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Change'!$B$8:$I$8</c:f>
              <c:numCache>
                <c:formatCode>General</c:formatCode>
                <c:ptCount val="8"/>
                <c:pt idx="0">
                  <c:v>-1.0607850213732138E-2</c:v>
                </c:pt>
                <c:pt idx="1">
                  <c:v>-0.19014489393892606</c:v>
                </c:pt>
                <c:pt idx="2">
                  <c:v>0.96902673276607565</c:v>
                </c:pt>
                <c:pt idx="3">
                  <c:v>-0.45270883721850219</c:v>
                </c:pt>
                <c:pt idx="4">
                  <c:v>0.73503377125081981</c:v>
                </c:pt>
                <c:pt idx="5">
                  <c:v>-0.18217192686327013</c:v>
                </c:pt>
                <c:pt idx="6">
                  <c:v>-0.45634355965590123</c:v>
                </c:pt>
                <c:pt idx="7">
                  <c:v>1.2921725188509912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F1-40C1-A514-D6FE71A6FDD9}"/>
            </c:ext>
          </c:extLst>
        </c:ser>
        <c:ser>
          <c:idx val="7"/>
          <c:order val="7"/>
          <c:tx>
            <c:strRef>
              <c:f>'Relative Change'!$A$9</c:f>
              <c:strCache>
                <c:ptCount val="1"/>
                <c:pt idx="0">
                  <c:v>f118c7c854ef66836a33c577ab61f4b2c5a2fd161b97a7011824c1de46a8acb1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Change'!$B$9:$I$9</c:f>
              <c:numCache>
                <c:formatCode>General</c:formatCode>
                <c:ptCount val="8"/>
                <c:pt idx="0">
                  <c:v>-0.13355209252381425</c:v>
                </c:pt>
                <c:pt idx="1">
                  <c:v>-0.49954435486367865</c:v>
                </c:pt>
                <c:pt idx="2">
                  <c:v>-1.3689647770689137E-2</c:v>
                </c:pt>
                <c:pt idx="3">
                  <c:v>0.46792471051995993</c:v>
                </c:pt>
                <c:pt idx="4">
                  <c:v>0.20009558718603795</c:v>
                </c:pt>
                <c:pt idx="5">
                  <c:v>-0.37247496993222634</c:v>
                </c:pt>
                <c:pt idx="6">
                  <c:v>0.51017518891300162</c:v>
                </c:pt>
                <c:pt idx="7">
                  <c:v>-1.2179970405289254E-2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4F1-40C1-A514-D6FE71A6FDD9}"/>
            </c:ext>
          </c:extLst>
        </c:ser>
        <c:ser>
          <c:idx val="8"/>
          <c:order val="8"/>
          <c:tx>
            <c:strRef>
              <c:f>'Relative Change'!$A$10</c:f>
              <c:strCache>
                <c:ptCount val="1"/>
                <c:pt idx="0">
                  <c:v>8e28741218970816587e9c1a3c2cf35e70e897d967bafe3ab109b76341a8f65e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Change'!$B$10:$I$10</c:f>
              <c:numCache>
                <c:formatCode>General</c:formatCode>
                <c:ptCount val="8"/>
                <c:pt idx="0">
                  <c:v>-0.22244788341704316</c:v>
                </c:pt>
                <c:pt idx="1">
                  <c:v>-0.14245130626754968</c:v>
                </c:pt>
                <c:pt idx="2">
                  <c:v>0.2352867057252151</c:v>
                </c:pt>
                <c:pt idx="3">
                  <c:v>-0.64181572738761716</c:v>
                </c:pt>
                <c:pt idx="4">
                  <c:v>1.5184567581670976</c:v>
                </c:pt>
                <c:pt idx="5">
                  <c:v>-0.57833688680861983</c:v>
                </c:pt>
                <c:pt idx="6">
                  <c:v>1.9279062966416129</c:v>
                </c:pt>
                <c:pt idx="7">
                  <c:v>0.48563831869430824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4F1-40C1-A514-D6FE71A6FDD9}"/>
            </c:ext>
          </c:extLst>
        </c:ser>
        <c:ser>
          <c:idx val="9"/>
          <c:order val="9"/>
          <c:tx>
            <c:strRef>
              <c:f>'Relative Change'!$A$11</c:f>
              <c:strCache>
                <c:ptCount val="1"/>
                <c:pt idx="0">
                  <c:v>0469e2c562078156e98ee780a4c44dab154993760427482cf280123ad2cb1bf8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strRef>
              <c:f>'Relative Change'!$B$1:$I$1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'Relative Change'!$B$11:$I$11</c:f>
              <c:numCache>
                <c:formatCode>General</c:formatCode>
                <c:ptCount val="8"/>
                <c:pt idx="0">
                  <c:v>-0.31095384855678487</c:v>
                </c:pt>
                <c:pt idx="1">
                  <c:v>-2.2238640419221013E-2</c:v>
                </c:pt>
                <c:pt idx="2">
                  <c:v>0.20005481690884674</c:v>
                </c:pt>
                <c:pt idx="3">
                  <c:v>0.14225335560694521</c:v>
                </c:pt>
                <c:pt idx="4">
                  <c:v>0.20949749780783825</c:v>
                </c:pt>
                <c:pt idx="5">
                  <c:v>-0.41862196821672104</c:v>
                </c:pt>
                <c:pt idx="6">
                  <c:v>0.25109394739068935</c:v>
                </c:pt>
                <c:pt idx="7">
                  <c:v>-0.18775446409889462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4F1-40C1-A514-D6FE71A6F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5442511"/>
        <c:axId val="1625443951"/>
      </c:scatterChart>
      <c:valAx>
        <c:axId val="1625442511"/>
        <c:scaling>
          <c:orientation val="minMax"/>
          <c:max val="9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Ending</a:t>
                </a:r>
                <a:r>
                  <a:rPr lang="en-AU" baseline="0"/>
                  <a:t> Timestep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443951"/>
        <c:crosses val="autoZero"/>
        <c:crossBetween val="midCat"/>
      </c:valAx>
      <c:valAx>
        <c:axId val="162544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Change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44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Raw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'T-All_K1 N10 P10'!$A$2</c:f>
              <c:strCache>
                <c:ptCount val="1"/>
                <c:pt idx="0">
                  <c:v>d25aa1037abc0ee33ddf41d15dc8098b5dab31e232686a7a8490057d92d238a8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P10'!$B$2:$J$2</c:f>
              <c:numCache>
                <c:formatCode>General</c:formatCode>
                <c:ptCount val="9"/>
                <c:pt idx="0">
                  <c:v>7.7093696345728411</c:v>
                </c:pt>
                <c:pt idx="1">
                  <c:v>5.7906130446282225</c:v>
                </c:pt>
                <c:pt idx="2">
                  <c:v>5.3500625842843226</c:v>
                </c:pt>
                <c:pt idx="3">
                  <c:v>4.8427418167938994</c:v>
                </c:pt>
                <c:pt idx="4">
                  <c:v>6.032011919077763</c:v>
                </c:pt>
                <c:pt idx="5">
                  <c:v>6.7457797535225552</c:v>
                </c:pt>
                <c:pt idx="6">
                  <c:v>6.5110442794470487</c:v>
                </c:pt>
                <c:pt idx="7">
                  <c:v>4.1704675159325175</c:v>
                </c:pt>
                <c:pt idx="8">
                  <c:v>6.8878689712785777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D0-44D3-8E89-C3CA19FAC351}"/>
            </c:ext>
          </c:extLst>
        </c:ser>
        <c:ser>
          <c:idx val="1"/>
          <c:order val="1"/>
          <c:tx>
            <c:strRef>
              <c:f>'T-All_K1 N10 P10'!$A$3</c:f>
              <c:strCache>
                <c:ptCount val="1"/>
                <c:pt idx="0">
                  <c:v>2717b7cd07b3492daa233fba3b311ad11022633fc6887c63a275c09f741c88ad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P10'!$B$3:$J$3</c:f>
              <c:numCache>
                <c:formatCode>General</c:formatCode>
                <c:ptCount val="9"/>
                <c:pt idx="0">
                  <c:v>7.3987379043496944</c:v>
                </c:pt>
                <c:pt idx="1">
                  <c:v>3.9908401073632067</c:v>
                </c:pt>
                <c:pt idx="2">
                  <c:v>5.7795224987410529</c:v>
                </c:pt>
                <c:pt idx="3">
                  <c:v>4.3785778318017723</c:v>
                </c:pt>
                <c:pt idx="4">
                  <c:v>2.631744695779286</c:v>
                </c:pt>
                <c:pt idx="5">
                  <c:v>2.2776689521769637</c:v>
                </c:pt>
                <c:pt idx="6">
                  <c:v>5.375273804028506</c:v>
                </c:pt>
                <c:pt idx="7">
                  <c:v>4.017226072352452</c:v>
                </c:pt>
                <c:pt idx="8">
                  <c:v>7.1461823155905346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D0-44D3-8E89-C3CA19FAC351}"/>
            </c:ext>
          </c:extLst>
        </c:ser>
        <c:ser>
          <c:idx val="2"/>
          <c:order val="2"/>
          <c:tx>
            <c:strRef>
              <c:f>'T-All_K1 N10 P10'!$A$4</c:f>
              <c:strCache>
                <c:ptCount val="1"/>
                <c:pt idx="0">
                  <c:v>9b563802ec83c693bed1ac3dc42c6e4b8015c6a100b0f60b7f0790385e7c0666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P10'!$B$4:$J$4</c:f>
              <c:numCache>
                <c:formatCode>General</c:formatCode>
                <c:ptCount val="9"/>
                <c:pt idx="0">
                  <c:v>7.7130281156282345</c:v>
                </c:pt>
                <c:pt idx="1">
                  <c:v>4.0408080673578324</c:v>
                </c:pt>
                <c:pt idx="2">
                  <c:v>5.2979041136348721</c:v>
                </c:pt>
                <c:pt idx="3">
                  <c:v>8.7587832900152609</c:v>
                </c:pt>
                <c:pt idx="4">
                  <c:v>6.5337826073465006</c:v>
                </c:pt>
                <c:pt idx="5">
                  <c:v>6.9128844311354927</c:v>
                </c:pt>
                <c:pt idx="6">
                  <c:v>8.3792920231659291</c:v>
                </c:pt>
                <c:pt idx="7">
                  <c:v>3.5290363793621151</c:v>
                </c:pt>
                <c:pt idx="8">
                  <c:v>5.8385245870194673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D0-44D3-8E89-C3CA19FAC351}"/>
            </c:ext>
          </c:extLst>
        </c:ser>
        <c:ser>
          <c:idx val="3"/>
          <c:order val="3"/>
          <c:tx>
            <c:strRef>
              <c:f>'T-All_K1 N10 P10'!$A$5</c:f>
              <c:strCache>
                <c:ptCount val="1"/>
                <c:pt idx="0">
                  <c:v>34cd6f7890246a1380e1ca79e6988afe4cfc530950e823b14ee9269cbc9f994a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P10'!$B$5:$J$5</c:f>
              <c:numCache>
                <c:formatCode>General</c:formatCode>
                <c:ptCount val="9"/>
                <c:pt idx="0">
                  <c:v>3.7370029357996408</c:v>
                </c:pt>
                <c:pt idx="1">
                  <c:v>4.3724656644806661</c:v>
                </c:pt>
                <c:pt idx="2">
                  <c:v>1.8166532076045925</c:v>
                </c:pt>
                <c:pt idx="3">
                  <c:v>6.2693321756269071</c:v>
                </c:pt>
                <c:pt idx="4">
                  <c:v>6.0647689470386812</c:v>
                </c:pt>
                <c:pt idx="5">
                  <c:v>1.8245534565052657</c:v>
                </c:pt>
                <c:pt idx="6">
                  <c:v>3.0371239534920038</c:v>
                </c:pt>
                <c:pt idx="7">
                  <c:v>3.3864881024241948</c:v>
                </c:pt>
                <c:pt idx="8">
                  <c:v>7.4832980029608223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D0-44D3-8E89-C3CA19FAC351}"/>
            </c:ext>
          </c:extLst>
        </c:ser>
        <c:ser>
          <c:idx val="4"/>
          <c:order val="4"/>
          <c:tx>
            <c:strRef>
              <c:f>'T-All_K1 N10 P10'!$A$6</c:f>
              <c:strCache>
                <c:ptCount val="1"/>
                <c:pt idx="0">
                  <c:v>a6772773acf295d82a4a4f90cc6b276e4eef57c35f5dd6a217f40522f7e65019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P10'!$B$6:$J$6</c:f>
              <c:numCache>
                <c:formatCode>General</c:formatCode>
                <c:ptCount val="9"/>
                <c:pt idx="0">
                  <c:v>5.2243998508356526</c:v>
                </c:pt>
                <c:pt idx="1">
                  <c:v>6.3159929418951979</c:v>
                </c:pt>
                <c:pt idx="2">
                  <c:v>5.5497883920397406</c:v>
                </c:pt>
                <c:pt idx="3">
                  <c:v>10.072433252948182</c:v>
                </c:pt>
                <c:pt idx="4">
                  <c:v>10.427955891922338</c:v>
                </c:pt>
                <c:pt idx="5">
                  <c:v>5.7926663840003281</c:v>
                </c:pt>
                <c:pt idx="6">
                  <c:v>6.0167430582630486</c:v>
                </c:pt>
                <c:pt idx="7">
                  <c:v>7.8489251671269962</c:v>
                </c:pt>
                <c:pt idx="8">
                  <c:v>10.077309440949223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D0-44D3-8E89-C3CA19FAC351}"/>
            </c:ext>
          </c:extLst>
        </c:ser>
        <c:ser>
          <c:idx val="5"/>
          <c:order val="5"/>
          <c:tx>
            <c:strRef>
              <c:f>'T-All_K1 N10 P10'!$A$7</c:f>
              <c:strCache>
                <c:ptCount val="1"/>
                <c:pt idx="0">
                  <c:v>5b3a7e9f258c6e42c84dcbf76b3fb29243536b9fcbc464bc101a1ef6c814c190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P10'!$B$7:$J$7</c:f>
              <c:numCache>
                <c:formatCode>General</c:formatCode>
                <c:ptCount val="9"/>
                <c:pt idx="0">
                  <c:v>5.9353373015873032</c:v>
                </c:pt>
                <c:pt idx="1">
                  <c:v>6.5629768758615521</c:v>
                </c:pt>
                <c:pt idx="2">
                  <c:v>6.2676774382694633</c:v>
                </c:pt>
                <c:pt idx="3">
                  <c:v>7.9115895312088389</c:v>
                </c:pt>
                <c:pt idx="4">
                  <c:v>5.4716444140321459</c:v>
                </c:pt>
                <c:pt idx="5">
                  <c:v>5.9068896084339482</c:v>
                </c:pt>
                <c:pt idx="6">
                  <c:v>5.5430001384153798</c:v>
                </c:pt>
                <c:pt idx="7">
                  <c:v>8.6257247427213048</c:v>
                </c:pt>
                <c:pt idx="8">
                  <c:v>5.7123947271285234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D0-44D3-8E89-C3CA19FAC351}"/>
            </c:ext>
          </c:extLst>
        </c:ser>
        <c:ser>
          <c:idx val="6"/>
          <c:order val="6"/>
          <c:tx>
            <c:strRef>
              <c:f>'T-All_K1 N10 P10'!$A$8</c:f>
              <c:strCache>
                <c:ptCount val="1"/>
                <c:pt idx="0">
                  <c:v>8001faf888c2bc2a9c689eb7d59c7d120bef7dccc006130a9132b510f98b0204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P10'!$B$8:$J$8</c:f>
              <c:numCache>
                <c:formatCode>General</c:formatCode>
                <c:ptCount val="9"/>
                <c:pt idx="0">
                  <c:v>4.5728695050863726</c:v>
                </c:pt>
                <c:pt idx="1">
                  <c:v>4.5243611903294729</c:v>
                </c:pt>
                <c:pt idx="2">
                  <c:v>3.664077011652882</c:v>
                </c:pt>
                <c:pt idx="3">
                  <c:v>7.2146655868581604</c:v>
                </c:pt>
                <c:pt idx="4">
                  <c:v>3.9485227181112599</c:v>
                </c:pt>
                <c:pt idx="5">
                  <c:v>6.8508202624741168</c:v>
                </c:pt>
                <c:pt idx="6">
                  <c:v>5.6027931346652728</c:v>
                </c:pt>
                <c:pt idx="7">
                  <c:v>3.0459945715764771</c:v>
                </c:pt>
                <c:pt idx="8">
                  <c:v>6.9819450495368995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9D0-44D3-8E89-C3CA19FAC351}"/>
            </c:ext>
          </c:extLst>
        </c:ser>
        <c:ser>
          <c:idx val="7"/>
          <c:order val="7"/>
          <c:tx>
            <c:strRef>
              <c:f>'T-All_K1 N10 P10'!$A$9</c:f>
              <c:strCache>
                <c:ptCount val="1"/>
                <c:pt idx="0">
                  <c:v>f118c7c854ef66836a33c577ab61f4b2c5a2fd161b97a7011824c1de46a8acb1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P10'!$B$9:$J$9</c:f>
              <c:numCache>
                <c:formatCode>General</c:formatCode>
                <c:ptCount val="9"/>
                <c:pt idx="0">
                  <c:v>16.903561835790857</c:v>
                </c:pt>
                <c:pt idx="1">
                  <c:v>14.646055781515301</c:v>
                </c:pt>
                <c:pt idx="2">
                  <c:v>7.3297012948407891</c:v>
                </c:pt>
                <c:pt idx="3">
                  <c:v>7.2293602658500546</c:v>
                </c:pt>
                <c:pt idx="4">
                  <c:v>10.612156575492442</c:v>
                </c:pt>
                <c:pt idx="5">
                  <c:v>12.735602276775776</c:v>
                </c:pt>
                <c:pt idx="6">
                  <c:v>7.9919092016649254</c:v>
                </c:pt>
                <c:pt idx="7">
                  <c:v>12.069182988399884</c:v>
                </c:pt>
                <c:pt idx="8">
                  <c:v>11.922180696785153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9D0-44D3-8E89-C3CA19FAC351}"/>
            </c:ext>
          </c:extLst>
        </c:ser>
        <c:ser>
          <c:idx val="8"/>
          <c:order val="8"/>
          <c:tx>
            <c:strRef>
              <c:f>'T-All_K1 N10 P10'!$A$10</c:f>
              <c:strCache>
                <c:ptCount val="1"/>
                <c:pt idx="0">
                  <c:v>8e28741218970816587e9c1a3c2cf35e70e897d967bafe3ab109b76341a8f65e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P10'!$B$10:$J$10</c:f>
              <c:numCache>
                <c:formatCode>General</c:formatCode>
                <c:ptCount val="9"/>
                <c:pt idx="0">
                  <c:v>8.0878435716901134</c:v>
                </c:pt>
                <c:pt idx="1">
                  <c:v>6.288719887759509</c:v>
                </c:pt>
                <c:pt idx="2">
                  <c:v>5.3928835249974485</c:v>
                </c:pt>
                <c:pt idx="3">
                  <c:v>6.6617573239538839</c:v>
                </c:pt>
                <c:pt idx="4">
                  <c:v>2.3861367014006358</c:v>
                </c:pt>
                <c:pt idx="5">
                  <c:v>6.0093821015529771</c:v>
                </c:pt>
                <c:pt idx="6">
                  <c:v>2.5339347652973871</c:v>
                </c:pt>
                <c:pt idx="7">
                  <c:v>7.4191235545933081</c:v>
                </c:pt>
                <c:pt idx="8">
                  <c:v>11.022134243831342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9D0-44D3-8E89-C3CA19FAC351}"/>
            </c:ext>
          </c:extLst>
        </c:ser>
        <c:ser>
          <c:idx val="9"/>
          <c:order val="9"/>
          <c:tx>
            <c:strRef>
              <c:f>'T-All_K1 N10 P10'!$A$11</c:f>
              <c:strCache>
                <c:ptCount val="1"/>
                <c:pt idx="0">
                  <c:v>0469e2c562078156e98ee780a4c44dab154993760427482cf280123ad2cb1bf8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'T-All_K1 N10 P10'!$B$1:$J$1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'T-All_K1 N10 P10'!$B$11:$J$11</c:f>
              <c:numCache>
                <c:formatCode>General</c:formatCode>
                <c:ptCount val="9"/>
                <c:pt idx="0">
                  <c:v>9.6786731301851656</c:v>
                </c:pt>
                <c:pt idx="1">
                  <c:v>6.6690524714309447</c:v>
                </c:pt>
                <c:pt idx="2">
                  <c:v>6.5207418115818747</c:v>
                </c:pt>
                <c:pt idx="3">
                  <c:v>7.8252476208077484</c:v>
                </c:pt>
                <c:pt idx="4">
                  <c:v>8.9384153533229149</c:v>
                </c:pt>
                <c:pt idx="5">
                  <c:v>10.81099100421123</c:v>
                </c:pt>
                <c:pt idx="6">
                  <c:v>6.2852726716550595</c:v>
                </c:pt>
                <c:pt idx="7">
                  <c:v>7.8634665972077524</c:v>
                </c:pt>
                <c:pt idx="8">
                  <c:v>6.3870656402894523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9D0-44D3-8E89-C3CA19FAC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4264735"/>
        <c:axId val="1614265215"/>
      </c:lineChart>
      <c:catAx>
        <c:axId val="16142647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4265215"/>
        <c:crosses val="autoZero"/>
        <c:auto val="1"/>
        <c:lblAlgn val="ctr"/>
        <c:lblOffset val="100"/>
        <c:noMultiLvlLbl val="0"/>
      </c:catAx>
      <c:valAx>
        <c:axId val="161426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426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111673</xdr:colOff>
      <xdr:row>22</xdr:row>
      <xdr:rowOff>6568</xdr:rowOff>
    </xdr:from>
    <xdr:to>
      <xdr:col>15</xdr:col>
      <xdr:colOff>407276</xdr:colOff>
      <xdr:row>46</xdr:row>
      <xdr:rowOff>151086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4E61C6-5CD5-4F0E-BB68-954AC44C6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164225</xdr:colOff>
      <xdr:row>47</xdr:row>
      <xdr:rowOff>164224</xdr:rowOff>
    </xdr:from>
    <xdr:to>
      <xdr:col>21</xdr:col>
      <xdr:colOff>188954</xdr:colOff>
      <xdr:row>72</xdr:row>
      <xdr:rowOff>11824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23FEDA-F84C-4109-8A6E-7DBFE6ED30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GitHub\Boolean_Network_SISOR_Degeneracy_Simulator\Boolean_Network_SISOR_Degeneracy_Simulator\Cumulative_Outputs\Results\Results_T-All_K1.N10.P0.xlsx" TargetMode="External"/><Relationship Id="rId1" Type="http://schemas.openxmlformats.org/officeDocument/2006/relationships/externalLinkPath" Target="Results_T-All_K1.N10.P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-All_K1 N10 P0"/>
      <sheetName val="R Squared"/>
      <sheetName val="Relative Change"/>
      <sheetName val="Graphs"/>
    </sheetNames>
    <sheetDataSet>
      <sheetData sheetId="0"/>
      <sheetData sheetId="1"/>
      <sheetData sheetId="2"/>
      <sheetData sheetId="3">
        <row r="91">
          <cell r="B91" t="str">
            <v>0-1</v>
          </cell>
          <cell r="C91" t="str">
            <v>1-2</v>
          </cell>
          <cell r="D91" t="str">
            <v>2-3</v>
          </cell>
          <cell r="E91" t="str">
            <v>3-4</v>
          </cell>
          <cell r="F91" t="str">
            <v>4-5</v>
          </cell>
          <cell r="G91" t="str">
            <v>5-6</v>
          </cell>
          <cell r="H91" t="str">
            <v>6-7</v>
          </cell>
          <cell r="I91" t="str">
            <v>7-8</v>
          </cell>
        </row>
        <row r="92">
          <cell r="A92" t="str">
            <v>428da1312b4e9e175c8da20472e82f346f19060102702e896cd2ed510d1f82d3</v>
          </cell>
          <cell r="B92">
            <v>-0.52692211743936967</v>
          </cell>
          <cell r="C92">
            <v>2.5449683300943082</v>
          </cell>
          <cell r="D92">
            <v>-0.56813601346900067</v>
          </cell>
          <cell r="E92">
            <v>0.37370450393739624</v>
          </cell>
          <cell r="F92">
            <v>-0.11860676260438571</v>
          </cell>
          <cell r="G92">
            <v>7.8697959024729272E-2</v>
          </cell>
          <cell r="H92">
            <v>0.66811740780388029</v>
          </cell>
          <cell r="I92">
            <v>-0.21505646007627235</v>
          </cell>
        </row>
        <row r="93">
          <cell r="A93" t="str">
            <v>b96c0907522c2773f70c3772a20a66ed27faa11b69222bb914593d8c048e550f</v>
          </cell>
          <cell r="B93">
            <v>-0.34916960337641734</v>
          </cell>
          <cell r="C93">
            <v>0.78493282943567255</v>
          </cell>
          <cell r="D93">
            <v>-0.52547934575411115</v>
          </cell>
          <cell r="E93">
            <v>1.5111387239299943</v>
          </cell>
          <cell r="F93">
            <v>-0.26863177691210355</v>
          </cell>
          <cell r="G93">
            <v>-0.30769806348032369</v>
          </cell>
          <cell r="H93">
            <v>0.78621308989132643</v>
          </cell>
          <cell r="I93">
            <v>-0.4294582048776906</v>
          </cell>
        </row>
        <row r="94">
          <cell r="A94" t="str">
            <v>91c19dd683a61988ab47f9523ac0c69189fc5bf0bc129535df465e67ceaa3f5c</v>
          </cell>
          <cell r="B94">
            <v>0.27026137022245861</v>
          </cell>
          <cell r="C94">
            <v>-1.9288685332565031E-2</v>
          </cell>
          <cell r="D94">
            <v>0.27024449399462097</v>
          </cell>
          <cell r="E94">
            <v>-0.33887525742888991</v>
          </cell>
          <cell r="F94">
            <v>-5.4288939791973634E-2</v>
          </cell>
          <cell r="G94">
            <v>0.58231053671186428</v>
          </cell>
          <cell r="H94">
            <v>-0.2090676191768239</v>
          </cell>
          <cell r="I94">
            <v>-0.13102738899877472</v>
          </cell>
        </row>
        <row r="95">
          <cell r="A95" t="str">
            <v>a77913344f83d12ba672562908a45473f0d39decfb73132ce324137df5880dca</v>
          </cell>
          <cell r="B95">
            <v>-5.9344884706120669E-2</v>
          </cell>
          <cell r="C95">
            <v>1.0766520920132845</v>
          </cell>
          <cell r="D95">
            <v>-0.32798790295093555</v>
          </cell>
          <cell r="E95">
            <v>-0.28653106271047174</v>
          </cell>
          <cell r="F95">
            <v>4.1831762644666551E-2</v>
          </cell>
          <cell r="G95">
            <v>1.04304111640796</v>
          </cell>
          <cell r="H95">
            <v>-0.500317103860764</v>
          </cell>
          <cell r="I95">
            <v>-0.56528867583795273</v>
          </cell>
        </row>
        <row r="96">
          <cell r="A96" t="str">
            <v>31dc9a7ab1e4d4612bdaf0e2738743d8249dd2a8c694e94911c68de321218e14</v>
          </cell>
          <cell r="B96">
            <v>0.27625554575278471</v>
          </cell>
          <cell r="C96">
            <v>-0.66872762408853448</v>
          </cell>
          <cell r="D96">
            <v>-8.2534030291672986E-2</v>
          </cell>
          <cell r="E96">
            <v>1.5927646022565161</v>
          </cell>
          <cell r="F96">
            <v>-3.6317469515102551E-3</v>
          </cell>
          <cell r="G96">
            <v>-0.19060770823180662</v>
          </cell>
          <cell r="H96">
            <v>-0.19378426639751903</v>
          </cell>
          <cell r="I96">
            <v>0.91035395954994747</v>
          </cell>
        </row>
        <row r="97">
          <cell r="A97" t="str">
            <v>cc16d76232e5a5ec88990779fb25161754f2fcae1be1817d9b06db6ed01a0252</v>
          </cell>
          <cell r="B97">
            <v>-0.23484953244692486</v>
          </cell>
          <cell r="C97">
            <v>1.0039521727395284</v>
          </cell>
          <cell r="D97">
            <v>1.1550368782416266E-2</v>
          </cell>
          <cell r="E97">
            <v>-0.19237903114719601</v>
          </cell>
          <cell r="F97">
            <v>-0.20425456246674276</v>
          </cell>
          <cell r="G97">
            <v>0.41496965248478845</v>
          </cell>
          <cell r="H97">
            <v>0.42501047532455838</v>
          </cell>
          <cell r="I97">
            <v>-0.63099887906625762</v>
          </cell>
        </row>
        <row r="98">
          <cell r="A98" t="str">
            <v>6495f98496f9faa9acbcdcf4e6d7f54f0fc9d6989ccd6cbe8d514c709be1ae47</v>
          </cell>
          <cell r="B98">
            <v>0.46403405179032664</v>
          </cell>
          <cell r="C98">
            <v>-0.34504551885704532</v>
          </cell>
          <cell r="D98">
            <v>0.26422523950128585</v>
          </cell>
          <cell r="E98">
            <v>-0.54007715322331062</v>
          </cell>
          <cell r="F98">
            <v>0.92468906766966485</v>
          </cell>
          <cell r="G98">
            <v>-0.4148440813530313</v>
          </cell>
          <cell r="H98">
            <v>0.55035703369427835</v>
          </cell>
          <cell r="I98">
            <v>-0.33618344016092505</v>
          </cell>
        </row>
        <row r="99">
          <cell r="A99" t="str">
            <v>a0a4a0a999bb3c4c42ab65d8be5cc30bd395809ee6deffe8ff8849786856012c</v>
          </cell>
          <cell r="B99">
            <v>-8.2042641378370473E-2</v>
          </cell>
          <cell r="C99">
            <v>-0.351463419167094</v>
          </cell>
          <cell r="D99">
            <v>0.1238951428472906</v>
          </cell>
          <cell r="E99">
            <v>6.1272471463077738E-2</v>
          </cell>
          <cell r="F99">
            <v>-0.21417068605233716</v>
          </cell>
          <cell r="G99">
            <v>1.9847344222538321E-2</v>
          </cell>
          <cell r="H99">
            <v>3.49929983662218E-2</v>
          </cell>
          <cell r="I99">
            <v>0.21342168392850469</v>
          </cell>
        </row>
        <row r="100">
          <cell r="A100" t="str">
            <v>7f3b0e32ea2b17f7a0962be43fa129208723a474d1511b5ff8a21ed8c63aca65</v>
          </cell>
          <cell r="B100">
            <v>-2.3852844691979333E-2</v>
          </cell>
          <cell r="C100">
            <v>0.58585496228077361</v>
          </cell>
          <cell r="D100">
            <v>0.14975481077389816</v>
          </cell>
          <cell r="E100">
            <v>-0.28298971123038624</v>
          </cell>
          <cell r="F100">
            <v>-0.1107330968202465</v>
          </cell>
          <cell r="G100">
            <v>0.11228168709510379</v>
          </cell>
          <cell r="H100">
            <v>-0.38791782518067641</v>
          </cell>
          <cell r="I100">
            <v>-5.386078391829538E-2</v>
          </cell>
        </row>
        <row r="101">
          <cell r="A101" t="str">
            <v>6f5b156caaebfa4130a64c596e5794c2e55be72403d2ceb5c236b43d6cf082d1</v>
          </cell>
          <cell r="B101">
            <v>-0.25956332890143347</v>
          </cell>
          <cell r="C101">
            <v>0.21798836666768337</v>
          </cell>
          <cell r="D101">
            <v>0.24540105915193872</v>
          </cell>
          <cell r="E101">
            <v>9.2413041347088928E-2</v>
          </cell>
          <cell r="F101">
            <v>-0.33734852529165482</v>
          </cell>
          <cell r="G101">
            <v>7.2177517387260665E-2</v>
          </cell>
          <cell r="H101">
            <v>0.942594467360787</v>
          </cell>
          <cell r="I101">
            <v>-6.9307038542884045E-2</v>
          </cell>
        </row>
        <row r="102">
          <cell r="A102" t="str">
            <v>6aa02f42db10b522f763f840e9e8a0bcb461f6f2f570d596a768a59dbfd88113</v>
          </cell>
          <cell r="B102">
            <v>0.84559346011727565</v>
          </cell>
          <cell r="C102">
            <v>-2.3174358593097175E-2</v>
          </cell>
          <cell r="D102">
            <v>-0.44323331480701439</v>
          </cell>
          <cell r="E102">
            <v>0.18740802115917046</v>
          </cell>
          <cell r="F102">
            <v>-9.0176724966641808E-2</v>
          </cell>
          <cell r="G102">
            <v>-0.46253185399677471</v>
          </cell>
          <cell r="H102">
            <v>4.2561828998832008</v>
          </cell>
          <cell r="I102">
            <v>-0.81029855423395114</v>
          </cell>
        </row>
        <row r="103">
          <cell r="A103" t="str">
            <v>f3cc524e5f2cc476c53eea535c2fc45073cef06fbd25ecd7e5fe92d8b87b3d29</v>
          </cell>
          <cell r="B103">
            <v>0.20377591407499571</v>
          </cell>
          <cell r="C103">
            <v>-0.3588297886243148</v>
          </cell>
          <cell r="D103">
            <v>1.0180447520240139</v>
          </cell>
          <cell r="E103">
            <v>6.6399081194437867E-2</v>
          </cell>
          <cell r="F103">
            <v>-0.3697588176143643</v>
          </cell>
          <cell r="G103">
            <v>-0.65043733774115187</v>
          </cell>
          <cell r="H103">
            <v>1.8147914144999056</v>
          </cell>
          <cell r="I103">
            <v>-0.24837799067804184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7FC5C29-7C7D-41E0-8044-CB344FB92289}" autoFormatId="16" applyNumberFormats="0" applyBorderFormats="0" applyFontFormats="0" applyPatternFormats="0" applyAlignmentFormats="0" applyWidthHeightFormats="0">
  <queryTableRefresh nextId="13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1" name="9" tableColumnId="11"/>
      <queryTableField id="12" name="1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04672-D6B2-4AC9-8035-BE87FC7BFFD2}" name="T_All_K1_N10_P10" displayName="T_All_K1_N10_P10" ref="A1:L11" tableType="queryTable" totalsRowShown="0">
  <autoFilter ref="A1:L11" xr:uid="{80804672-D6B2-4AC9-8035-BE87FC7BFFD2}"/>
  <tableColumns count="12">
    <tableColumn id="1" xr3:uid="{E6987036-F876-4E52-9C04-646196CA4595}" uniqueName="1" name="Identifier" queryTableFieldId="1" dataDxfId="8"/>
    <tableColumn id="2" xr3:uid="{0C968B3F-7D00-4C01-9461-8F1179E382E6}" uniqueName="2" name="0" queryTableFieldId="2"/>
    <tableColumn id="3" xr3:uid="{D352341E-EB4F-4034-950E-2E5D5DF2465F}" uniqueName="3" name="1" queryTableFieldId="3"/>
    <tableColumn id="4" xr3:uid="{1F1D4C01-65D5-4F2D-A951-E919FA3E9FA3}" uniqueName="4" name="2" queryTableFieldId="4"/>
    <tableColumn id="5" xr3:uid="{0FB7260E-8336-42C3-9B9E-95FC36C57329}" uniqueName="5" name="3" queryTableFieldId="5"/>
    <tableColumn id="6" xr3:uid="{27B22EE1-229A-4350-B072-829193DB4505}" uniqueName="6" name="4" queryTableFieldId="6"/>
    <tableColumn id="7" xr3:uid="{47ABAC8D-7AD1-4372-9511-A050DE8E3815}" uniqueName="7" name="5" queryTableFieldId="7"/>
    <tableColumn id="8" xr3:uid="{E860E029-75C1-40B7-AADD-DB1C96BF6011}" uniqueName="8" name="6" queryTableFieldId="8"/>
    <tableColumn id="9" xr3:uid="{BCB101BC-9798-4D98-8694-C76DA8916CEE}" uniqueName="9" name="7" queryTableFieldId="9"/>
    <tableColumn id="10" xr3:uid="{A3C6316F-861E-4375-8B9E-17935D3E9289}" uniqueName="10" name="8" queryTableFieldId="10"/>
    <tableColumn id="11" xr3:uid="{BDB8BE69-A2E6-4D56-A2A3-6CFDD9D2B51A}" uniqueName="11" name="9" queryTableFieldId="11"/>
    <tableColumn id="12" xr3:uid="{7EF22797-133B-40DF-8FAD-BD237ACCF0E7}" uniqueName="12" name="10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F877F-631B-4F87-AF6E-1AB7D24FAA39}">
  <dimension ref="A1:L11"/>
  <sheetViews>
    <sheetView zoomScale="85" zoomScaleNormal="85" workbookViewId="0">
      <selection activeCell="B40" sqref="B40"/>
    </sheetView>
  </sheetViews>
  <sheetFormatPr defaultRowHeight="15" x14ac:dyDescent="0.25"/>
  <cols>
    <col min="1" max="1" width="69.140625" bestFit="1" customWidth="1"/>
    <col min="2" max="10" width="12.28515625" bestFit="1" customWidth="1"/>
    <col min="11" max="11" width="4.85546875" bestFit="1" customWidth="1"/>
    <col min="12" max="12" width="5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8" t="s">
        <v>12</v>
      </c>
      <c r="B2">
        <v>7.7093696345728411</v>
      </c>
      <c r="C2">
        <v>5.7906130446282225</v>
      </c>
      <c r="D2">
        <v>5.3500625842843226</v>
      </c>
      <c r="E2">
        <v>4.8427418167938994</v>
      </c>
      <c r="F2">
        <v>6.032011919077763</v>
      </c>
      <c r="G2">
        <v>6.7457797535225552</v>
      </c>
      <c r="H2">
        <v>6.5110442794470487</v>
      </c>
      <c r="I2">
        <v>4.1704675159325175</v>
      </c>
      <c r="J2">
        <v>6.8878689712785777</v>
      </c>
    </row>
    <row r="3" spans="1:12" x14ac:dyDescent="0.25">
      <c r="A3" s="8" t="s">
        <v>13</v>
      </c>
      <c r="B3">
        <v>7.3987379043496944</v>
      </c>
      <c r="C3">
        <v>3.9908401073632067</v>
      </c>
      <c r="D3">
        <v>5.7795224987410529</v>
      </c>
      <c r="E3">
        <v>4.3785778318017723</v>
      </c>
      <c r="F3">
        <v>2.631744695779286</v>
      </c>
      <c r="G3">
        <v>2.2776689521769637</v>
      </c>
      <c r="H3">
        <v>5.375273804028506</v>
      </c>
      <c r="I3">
        <v>4.017226072352452</v>
      </c>
      <c r="J3">
        <v>7.1461823155905346</v>
      </c>
    </row>
    <row r="4" spans="1:12" x14ac:dyDescent="0.25">
      <c r="A4" s="8" t="s">
        <v>14</v>
      </c>
      <c r="B4">
        <v>7.7130281156282345</v>
      </c>
      <c r="C4">
        <v>4.0408080673578324</v>
      </c>
      <c r="D4">
        <v>5.2979041136348721</v>
      </c>
      <c r="E4">
        <v>8.7587832900152609</v>
      </c>
      <c r="F4">
        <v>6.5337826073465006</v>
      </c>
      <c r="G4">
        <v>6.9128844311354927</v>
      </c>
      <c r="H4">
        <v>8.3792920231659291</v>
      </c>
      <c r="I4">
        <v>3.5290363793621151</v>
      </c>
      <c r="J4">
        <v>5.8385245870194673</v>
      </c>
    </row>
    <row r="5" spans="1:12" x14ac:dyDescent="0.25">
      <c r="A5" s="8" t="s">
        <v>30</v>
      </c>
      <c r="B5">
        <v>3.7370029357996408</v>
      </c>
      <c r="C5">
        <v>4.3724656644806661</v>
      </c>
      <c r="D5">
        <v>1.8166532076045925</v>
      </c>
      <c r="E5">
        <v>6.2693321756269071</v>
      </c>
      <c r="F5">
        <v>6.0647689470386812</v>
      </c>
      <c r="G5">
        <v>1.8245534565052657</v>
      </c>
      <c r="H5">
        <v>3.0371239534920038</v>
      </c>
      <c r="I5">
        <v>3.3864881024241948</v>
      </c>
      <c r="J5">
        <v>7.4832980029608223</v>
      </c>
    </row>
    <row r="6" spans="1:12" x14ac:dyDescent="0.25">
      <c r="A6" s="8" t="s">
        <v>31</v>
      </c>
      <c r="B6">
        <v>5.2243998508356526</v>
      </c>
      <c r="C6">
        <v>6.3159929418951979</v>
      </c>
      <c r="D6">
        <v>5.5497883920397406</v>
      </c>
      <c r="E6">
        <v>10.072433252948182</v>
      </c>
      <c r="F6">
        <v>10.427955891922338</v>
      </c>
      <c r="G6">
        <v>5.7926663840003281</v>
      </c>
      <c r="H6">
        <v>6.0167430582630486</v>
      </c>
      <c r="I6">
        <v>7.8489251671269962</v>
      </c>
      <c r="J6">
        <v>10.077309440949223</v>
      </c>
    </row>
    <row r="7" spans="1:12" x14ac:dyDescent="0.25">
      <c r="A7" s="8" t="s">
        <v>32</v>
      </c>
      <c r="B7">
        <v>5.9353373015873032</v>
      </c>
      <c r="C7">
        <v>6.5629768758615521</v>
      </c>
      <c r="D7">
        <v>6.2676774382694633</v>
      </c>
      <c r="E7">
        <v>7.9115895312088389</v>
      </c>
      <c r="F7">
        <v>5.4716444140321459</v>
      </c>
      <c r="G7">
        <v>5.9068896084339482</v>
      </c>
      <c r="H7">
        <v>5.5430001384153798</v>
      </c>
      <c r="I7">
        <v>8.6257247427213048</v>
      </c>
      <c r="J7">
        <v>5.7123947271285234</v>
      </c>
    </row>
    <row r="8" spans="1:12" x14ac:dyDescent="0.25">
      <c r="A8" s="8" t="s">
        <v>33</v>
      </c>
      <c r="B8">
        <v>4.5728695050863726</v>
      </c>
      <c r="C8">
        <v>4.5243611903294729</v>
      </c>
      <c r="D8">
        <v>3.664077011652882</v>
      </c>
      <c r="E8">
        <v>7.2146655868581604</v>
      </c>
      <c r="F8">
        <v>3.9485227181112599</v>
      </c>
      <c r="G8">
        <v>6.8508202624741168</v>
      </c>
      <c r="H8">
        <v>5.6027931346652728</v>
      </c>
      <c r="I8">
        <v>3.0459945715764771</v>
      </c>
      <c r="J8">
        <v>6.9819450495368995</v>
      </c>
    </row>
    <row r="9" spans="1:12" x14ac:dyDescent="0.25">
      <c r="A9" s="8" t="s">
        <v>36</v>
      </c>
      <c r="B9">
        <v>16.903561835790857</v>
      </c>
      <c r="C9">
        <v>14.646055781515301</v>
      </c>
      <c r="D9">
        <v>7.3297012948407891</v>
      </c>
      <c r="E9">
        <v>7.2293602658500546</v>
      </c>
      <c r="F9">
        <v>10.612156575492442</v>
      </c>
      <c r="G9">
        <v>12.735602276775776</v>
      </c>
      <c r="H9">
        <v>7.9919092016649254</v>
      </c>
      <c r="I9">
        <v>12.069182988399884</v>
      </c>
      <c r="J9">
        <v>11.922180696785153</v>
      </c>
    </row>
    <row r="10" spans="1:12" x14ac:dyDescent="0.25">
      <c r="A10" s="8" t="s">
        <v>37</v>
      </c>
      <c r="B10">
        <v>8.0878435716901134</v>
      </c>
      <c r="C10">
        <v>6.288719887759509</v>
      </c>
      <c r="D10">
        <v>5.3928835249974485</v>
      </c>
      <c r="E10">
        <v>6.6617573239538839</v>
      </c>
      <c r="F10">
        <v>2.3861367014006358</v>
      </c>
      <c r="G10">
        <v>6.0093821015529771</v>
      </c>
      <c r="H10">
        <v>2.5339347652973871</v>
      </c>
      <c r="I10">
        <v>7.4191235545933081</v>
      </c>
      <c r="J10">
        <v>11.022134243831342</v>
      </c>
    </row>
    <row r="11" spans="1:12" x14ac:dyDescent="0.25">
      <c r="A11" s="8" t="s">
        <v>38</v>
      </c>
      <c r="B11">
        <v>9.6786731301851656</v>
      </c>
      <c r="C11">
        <v>6.6690524714309447</v>
      </c>
      <c r="D11">
        <v>6.5207418115818747</v>
      </c>
      <c r="E11">
        <v>7.8252476208077484</v>
      </c>
      <c r="F11">
        <v>8.9384153533229149</v>
      </c>
      <c r="G11">
        <v>10.81099100421123</v>
      </c>
      <c r="H11">
        <v>6.2852726716550595</v>
      </c>
      <c r="I11">
        <v>7.8634665972077524</v>
      </c>
      <c r="J11">
        <v>6.3870656402894523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A63F-D7AF-43CF-B6E6-E01A84121C52}">
  <dimension ref="A1:L18"/>
  <sheetViews>
    <sheetView zoomScale="130" zoomScaleNormal="130" workbookViewId="0">
      <selection activeCell="L15" sqref="L15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L1" s="2" t="s">
        <v>15</v>
      </c>
    </row>
    <row r="2" spans="1:12" x14ac:dyDescent="0.25">
      <c r="A2" t="str">
        <f>T_All_K1_N10_P10[[#This Row],[Identifier]]</f>
        <v>d25aa1037abc0ee33ddf41d15dc8098b5dab31e232686a7a8490057d92d238a8</v>
      </c>
      <c r="B2">
        <f>T_All_K1_N10_P10[[#This Row],[0]]</f>
        <v>7.7093696345728411</v>
      </c>
      <c r="C2">
        <f>T_All_K1_N10_P10[[#This Row],[1]]</f>
        <v>5.7906130446282225</v>
      </c>
      <c r="D2">
        <f>T_All_K1_N10_P10[[#This Row],[2]]</f>
        <v>5.3500625842843226</v>
      </c>
      <c r="E2">
        <f>T_All_K1_N10_P10[[#This Row],[3]]</f>
        <v>4.8427418167938994</v>
      </c>
      <c r="F2">
        <f>T_All_K1_N10_P10[[#This Row],[4]]</f>
        <v>6.032011919077763</v>
      </c>
      <c r="G2">
        <f>T_All_K1_N10_P10[[#This Row],[5]]</f>
        <v>6.7457797535225552</v>
      </c>
      <c r="H2">
        <f>T_All_K1_N10_P10[[#This Row],[6]]</f>
        <v>6.5110442794470487</v>
      </c>
      <c r="I2">
        <f>T_All_K1_N10_P10[[#This Row],[7]]</f>
        <v>4.1704675159325175</v>
      </c>
      <c r="J2">
        <f>T_All_K1_N10_P10[[#This Row],[8]]</f>
        <v>6.8878689712785777</v>
      </c>
      <c r="L2" s="3">
        <f t="shared" ref="L2:L11" si="0">RSQ(B2:J2,$B$1:$J$1)</f>
        <v>2.6473557482281765E-2</v>
      </c>
    </row>
    <row r="3" spans="1:12" x14ac:dyDescent="0.25">
      <c r="A3" t="str">
        <f>T_All_K1_N10_P10[[#This Row],[Identifier]]</f>
        <v>2717b7cd07b3492daa233fba3b311ad11022633fc6887c63a275c09f741c88ad</v>
      </c>
      <c r="B3">
        <f>T_All_K1_N10_P10[[#This Row],[0]]</f>
        <v>7.3987379043496944</v>
      </c>
      <c r="C3">
        <f>T_All_K1_N10_P10[[#This Row],[1]]</f>
        <v>3.9908401073632067</v>
      </c>
      <c r="D3">
        <f>T_All_K1_N10_P10[[#This Row],[2]]</f>
        <v>5.7795224987410529</v>
      </c>
      <c r="E3">
        <f>T_All_K1_N10_P10[[#This Row],[3]]</f>
        <v>4.3785778318017723</v>
      </c>
      <c r="F3">
        <f>T_All_K1_N10_P10[[#This Row],[4]]</f>
        <v>2.631744695779286</v>
      </c>
      <c r="G3">
        <f>T_All_K1_N10_P10[[#This Row],[5]]</f>
        <v>2.2776689521769637</v>
      </c>
      <c r="H3">
        <f>T_All_K1_N10_P10[[#This Row],[6]]</f>
        <v>5.375273804028506</v>
      </c>
      <c r="I3">
        <f>T_All_K1_N10_P10[[#This Row],[7]]</f>
        <v>4.017226072352452</v>
      </c>
      <c r="J3">
        <f>T_All_K1_N10_P10[[#This Row],[8]]</f>
        <v>7.1461823155905346</v>
      </c>
      <c r="L3" s="3">
        <f t="shared" si="0"/>
        <v>9.4356318647518967E-3</v>
      </c>
    </row>
    <row r="4" spans="1:12" x14ac:dyDescent="0.25">
      <c r="A4" t="str">
        <f>T_All_K1_N10_P10[[#This Row],[Identifier]]</f>
        <v>9b563802ec83c693bed1ac3dc42c6e4b8015c6a100b0f60b7f0790385e7c0666</v>
      </c>
      <c r="B4">
        <f>T_All_K1_N10_P10[[#This Row],[0]]</f>
        <v>7.7130281156282345</v>
      </c>
      <c r="C4">
        <f>T_All_K1_N10_P10[[#This Row],[1]]</f>
        <v>4.0408080673578324</v>
      </c>
      <c r="D4">
        <f>T_All_K1_N10_P10[[#This Row],[2]]</f>
        <v>5.2979041136348721</v>
      </c>
      <c r="E4">
        <f>T_All_K1_N10_P10[[#This Row],[3]]</f>
        <v>8.7587832900152609</v>
      </c>
      <c r="F4">
        <f>T_All_K1_N10_P10[[#This Row],[4]]</f>
        <v>6.5337826073465006</v>
      </c>
      <c r="G4">
        <f>T_All_K1_N10_P10[[#This Row],[5]]</f>
        <v>6.9128844311354927</v>
      </c>
      <c r="H4">
        <f>T_All_K1_N10_P10[[#This Row],[6]]</f>
        <v>8.3792920231659291</v>
      </c>
      <c r="I4">
        <f>T_All_K1_N10_P10[[#This Row],[7]]</f>
        <v>3.5290363793621151</v>
      </c>
      <c r="J4">
        <f>T_All_K1_N10_P10[[#This Row],[8]]</f>
        <v>5.8385245870194673</v>
      </c>
      <c r="L4" s="3">
        <f t="shared" si="0"/>
        <v>1.3841616109204539E-2</v>
      </c>
    </row>
    <row r="5" spans="1:12" x14ac:dyDescent="0.25">
      <c r="A5" t="str">
        <f>T_All_K1_N10_P10[[#This Row],[Identifier]]</f>
        <v>34cd6f7890246a1380e1ca79e6988afe4cfc530950e823b14ee9269cbc9f994a</v>
      </c>
      <c r="B5">
        <f>T_All_K1_N10_P10[[#This Row],[0]]</f>
        <v>3.7370029357996408</v>
      </c>
      <c r="C5">
        <f>T_All_K1_N10_P10[[#This Row],[1]]</f>
        <v>4.3724656644806661</v>
      </c>
      <c r="D5">
        <f>T_All_K1_N10_P10[[#This Row],[2]]</f>
        <v>1.8166532076045925</v>
      </c>
      <c r="E5">
        <f>T_All_K1_N10_P10[[#This Row],[3]]</f>
        <v>6.2693321756269071</v>
      </c>
      <c r="F5">
        <f>T_All_K1_N10_P10[[#This Row],[4]]</f>
        <v>6.0647689470386812</v>
      </c>
      <c r="G5">
        <f>T_All_K1_N10_P10[[#This Row],[5]]</f>
        <v>1.8245534565052657</v>
      </c>
      <c r="H5">
        <f>T_All_K1_N10_P10[[#This Row],[6]]</f>
        <v>3.0371239534920038</v>
      </c>
      <c r="I5">
        <f>T_All_K1_N10_P10[[#This Row],[7]]</f>
        <v>3.3864881024241948</v>
      </c>
      <c r="J5">
        <f>T_All_K1_N10_P10[[#This Row],[8]]</f>
        <v>7.4832980029608223</v>
      </c>
      <c r="L5" s="3">
        <f t="shared" si="0"/>
        <v>5.2137268104919594E-2</v>
      </c>
    </row>
    <row r="6" spans="1:12" x14ac:dyDescent="0.25">
      <c r="A6" t="str">
        <f>T_All_K1_N10_P10[[#This Row],[Identifier]]</f>
        <v>a6772773acf295d82a4a4f90cc6b276e4eef57c35f5dd6a217f40522f7e65019</v>
      </c>
      <c r="B6">
        <f>T_All_K1_N10_P10[[#This Row],[0]]</f>
        <v>5.2243998508356526</v>
      </c>
      <c r="C6">
        <f>T_All_K1_N10_P10[[#This Row],[1]]</f>
        <v>6.3159929418951979</v>
      </c>
      <c r="D6">
        <f>T_All_K1_N10_P10[[#This Row],[2]]</f>
        <v>5.5497883920397406</v>
      </c>
      <c r="E6">
        <f>T_All_K1_N10_P10[[#This Row],[3]]</f>
        <v>10.072433252948182</v>
      </c>
      <c r="F6">
        <f>T_All_K1_N10_P10[[#This Row],[4]]</f>
        <v>10.427955891922338</v>
      </c>
      <c r="G6">
        <f>T_All_K1_N10_P10[[#This Row],[5]]</f>
        <v>5.7926663840003281</v>
      </c>
      <c r="H6">
        <f>T_All_K1_N10_P10[[#This Row],[6]]</f>
        <v>6.0167430582630486</v>
      </c>
      <c r="I6">
        <f>T_All_K1_N10_P10[[#This Row],[7]]</f>
        <v>7.8489251671269962</v>
      </c>
      <c r="J6">
        <f>T_All_K1_N10_P10[[#This Row],[8]]</f>
        <v>10.077309440949223</v>
      </c>
      <c r="L6" s="3">
        <f t="shared" si="0"/>
        <v>0.19004294021448609</v>
      </c>
    </row>
    <row r="7" spans="1:12" x14ac:dyDescent="0.25">
      <c r="A7" t="str">
        <f>T_All_K1_N10_P10[[#This Row],[Identifier]]</f>
        <v>5b3a7e9f258c6e42c84dcbf76b3fb29243536b9fcbc464bc101a1ef6c814c190</v>
      </c>
      <c r="B7">
        <f>T_All_K1_N10_P10[[#This Row],[0]]</f>
        <v>5.9353373015873032</v>
      </c>
      <c r="C7">
        <f>T_All_K1_N10_P10[[#This Row],[1]]</f>
        <v>6.5629768758615521</v>
      </c>
      <c r="D7">
        <f>T_All_K1_N10_P10[[#This Row],[2]]</f>
        <v>6.2676774382694633</v>
      </c>
      <c r="E7">
        <f>T_All_K1_N10_P10[[#This Row],[3]]</f>
        <v>7.9115895312088389</v>
      </c>
      <c r="F7">
        <f>T_All_K1_N10_P10[[#This Row],[4]]</f>
        <v>5.4716444140321459</v>
      </c>
      <c r="G7">
        <f>T_All_K1_N10_P10[[#This Row],[5]]</f>
        <v>5.9068896084339482</v>
      </c>
      <c r="H7">
        <f>T_All_K1_N10_P10[[#This Row],[6]]</f>
        <v>5.5430001384153798</v>
      </c>
      <c r="I7">
        <f>T_All_K1_N10_P10[[#This Row],[7]]</f>
        <v>8.6257247427213048</v>
      </c>
      <c r="J7">
        <f>T_All_K1_N10_P10[[#This Row],[8]]</f>
        <v>5.7123947271285234</v>
      </c>
      <c r="L7" s="3">
        <f t="shared" si="0"/>
        <v>5.7739425500348525E-3</v>
      </c>
    </row>
    <row r="8" spans="1:12" x14ac:dyDescent="0.25">
      <c r="A8" t="str">
        <f>T_All_K1_N10_P10[[#This Row],[Identifier]]</f>
        <v>8001faf888c2bc2a9c689eb7d59c7d120bef7dccc006130a9132b510f98b0204</v>
      </c>
      <c r="B8">
        <f>T_All_K1_N10_P10[[#This Row],[0]]</f>
        <v>4.5728695050863726</v>
      </c>
      <c r="C8">
        <f>T_All_K1_N10_P10[[#This Row],[1]]</f>
        <v>4.5243611903294729</v>
      </c>
      <c r="D8">
        <f>T_All_K1_N10_P10[[#This Row],[2]]</f>
        <v>3.664077011652882</v>
      </c>
      <c r="E8">
        <f>T_All_K1_N10_P10[[#This Row],[3]]</f>
        <v>7.2146655868581604</v>
      </c>
      <c r="F8">
        <f>T_All_K1_N10_P10[[#This Row],[4]]</f>
        <v>3.9485227181112599</v>
      </c>
      <c r="G8">
        <f>T_All_K1_N10_P10[[#This Row],[5]]</f>
        <v>6.8508202624741168</v>
      </c>
      <c r="H8">
        <f>T_All_K1_N10_P10[[#This Row],[6]]</f>
        <v>5.6027931346652728</v>
      </c>
      <c r="I8">
        <f>T_All_K1_N10_P10[[#This Row],[7]]</f>
        <v>3.0459945715764771</v>
      </c>
      <c r="J8">
        <f>T_All_K1_N10_P10[[#This Row],[8]]</f>
        <v>6.9819450495368995</v>
      </c>
      <c r="L8" s="3">
        <f t="shared" si="0"/>
        <v>6.4848633018642202E-2</v>
      </c>
    </row>
    <row r="9" spans="1:12" x14ac:dyDescent="0.25">
      <c r="A9" t="str">
        <f>T_All_K1_N10_P10[[#This Row],[Identifier]]</f>
        <v>f118c7c854ef66836a33c577ab61f4b2c5a2fd161b97a7011824c1de46a8acb1</v>
      </c>
      <c r="B9">
        <f>T_All_K1_N10_P10[[#This Row],[0]]</f>
        <v>16.903561835790857</v>
      </c>
      <c r="C9">
        <f>T_All_K1_N10_P10[[#This Row],[1]]</f>
        <v>14.646055781515301</v>
      </c>
      <c r="D9">
        <f>T_All_K1_N10_P10[[#This Row],[2]]</f>
        <v>7.3297012948407891</v>
      </c>
      <c r="E9">
        <f>T_All_K1_N10_P10[[#This Row],[3]]</f>
        <v>7.2293602658500546</v>
      </c>
      <c r="F9">
        <f>T_All_K1_N10_P10[[#This Row],[4]]</f>
        <v>10.612156575492442</v>
      </c>
      <c r="G9">
        <f>T_All_K1_N10_P10[[#This Row],[5]]</f>
        <v>12.735602276775776</v>
      </c>
      <c r="H9">
        <f>T_All_K1_N10_P10[[#This Row],[6]]</f>
        <v>7.9919092016649254</v>
      </c>
      <c r="I9">
        <f>T_All_K1_N10_P10[[#This Row],[7]]</f>
        <v>12.069182988399884</v>
      </c>
      <c r="J9">
        <f>T_All_K1_N10_P10[[#This Row],[8]]</f>
        <v>11.922180696785153</v>
      </c>
      <c r="L9" s="3">
        <f t="shared" si="0"/>
        <v>8.0873765945163212E-2</v>
      </c>
    </row>
    <row r="10" spans="1:12" x14ac:dyDescent="0.25">
      <c r="A10" t="str">
        <f>T_All_K1_N10_P10[[#This Row],[Identifier]]</f>
        <v>8e28741218970816587e9c1a3c2cf35e70e897d967bafe3ab109b76341a8f65e</v>
      </c>
      <c r="B10">
        <f>T_All_K1_N10_P10[[#This Row],[0]]</f>
        <v>8.0878435716901134</v>
      </c>
      <c r="C10">
        <f>T_All_K1_N10_P10[[#This Row],[1]]</f>
        <v>6.288719887759509</v>
      </c>
      <c r="D10">
        <f>T_All_K1_N10_P10[[#This Row],[2]]</f>
        <v>5.3928835249974485</v>
      </c>
      <c r="E10">
        <f>T_All_K1_N10_P10[[#This Row],[3]]</f>
        <v>6.6617573239538839</v>
      </c>
      <c r="F10">
        <f>T_All_K1_N10_P10[[#This Row],[4]]</f>
        <v>2.3861367014006358</v>
      </c>
      <c r="G10">
        <f>T_All_K1_N10_P10[[#This Row],[5]]</f>
        <v>6.0093821015529771</v>
      </c>
      <c r="H10">
        <f>T_All_K1_N10_P10[[#This Row],[6]]</f>
        <v>2.5339347652973871</v>
      </c>
      <c r="I10">
        <f>T_All_K1_N10_P10[[#This Row],[7]]</f>
        <v>7.4191235545933081</v>
      </c>
      <c r="J10">
        <f>T_All_K1_N10_P10[[#This Row],[8]]</f>
        <v>11.022134243831342</v>
      </c>
      <c r="L10" s="3">
        <f t="shared" si="0"/>
        <v>2.2350667489488149E-2</v>
      </c>
    </row>
    <row r="11" spans="1:12" x14ac:dyDescent="0.25">
      <c r="A11" t="str">
        <f>T_All_K1_N10_P10[[#This Row],[Identifier]]</f>
        <v>0469e2c562078156e98ee780a4c44dab154993760427482cf280123ad2cb1bf8</v>
      </c>
      <c r="B11">
        <f>T_All_K1_N10_P10[[#This Row],[0]]</f>
        <v>9.6786731301851656</v>
      </c>
      <c r="C11">
        <f>T_All_K1_N10_P10[[#This Row],[1]]</f>
        <v>6.6690524714309447</v>
      </c>
      <c r="D11">
        <f>T_All_K1_N10_P10[[#This Row],[2]]</f>
        <v>6.5207418115818747</v>
      </c>
      <c r="E11">
        <f>T_All_K1_N10_P10[[#This Row],[3]]</f>
        <v>7.8252476208077484</v>
      </c>
      <c r="F11">
        <f>T_All_K1_N10_P10[[#This Row],[4]]</f>
        <v>8.9384153533229149</v>
      </c>
      <c r="G11">
        <f>T_All_K1_N10_P10[[#This Row],[5]]</f>
        <v>10.81099100421123</v>
      </c>
      <c r="H11">
        <f>T_All_K1_N10_P10[[#This Row],[6]]</f>
        <v>6.2852726716550595</v>
      </c>
      <c r="I11">
        <f>T_All_K1_N10_P10[[#This Row],[7]]</f>
        <v>7.8634665972077524</v>
      </c>
      <c r="J11">
        <f>T_All_K1_N10_P10[[#This Row],[8]]</f>
        <v>6.3870656402894523</v>
      </c>
      <c r="L11" s="3">
        <f t="shared" si="0"/>
        <v>3.9586340155369326E-2</v>
      </c>
    </row>
    <row r="14" spans="1:12" x14ac:dyDescent="0.25">
      <c r="K14" s="2" t="s">
        <v>16</v>
      </c>
      <c r="L14" s="3">
        <f>AVERAGE(L2:L11)</f>
        <v>5.0536436293434163E-2</v>
      </c>
    </row>
    <row r="15" spans="1:12" x14ac:dyDescent="0.25">
      <c r="L15" s="3"/>
    </row>
    <row r="16" spans="1:12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">
        <v>17</v>
      </c>
    </row>
    <row r="18" spans="1:12" x14ac:dyDescent="0.25">
      <c r="A18" s="6" t="s">
        <v>18</v>
      </c>
      <c r="B18" s="5">
        <f>AVERAGE(B2:B11)</f>
        <v>7.6960823785525871</v>
      </c>
      <c r="C18" s="5">
        <f t="shared" ref="C18:J18" si="1">AVERAGE(C2:C11)</f>
        <v>6.3201886032621903</v>
      </c>
      <c r="D18" s="5">
        <f t="shared" si="1"/>
        <v>5.2969011877647034</v>
      </c>
      <c r="E18" s="5">
        <f t="shared" si="1"/>
        <v>7.1164488695864705</v>
      </c>
      <c r="F18" s="5">
        <f t="shared" si="1"/>
        <v>6.3047139823523972</v>
      </c>
      <c r="G18" s="5">
        <f t="shared" si="1"/>
        <v>6.5867238230788647</v>
      </c>
      <c r="H18" s="5">
        <f t="shared" si="1"/>
        <v>5.7276387030094558</v>
      </c>
      <c r="I18" s="5">
        <f t="shared" si="1"/>
        <v>6.1975635691697004</v>
      </c>
      <c r="J18" s="5">
        <f t="shared" si="1"/>
        <v>7.9458903675369994</v>
      </c>
      <c r="K18" s="5"/>
      <c r="L18" s="5">
        <f>RSQ(B1:J1,B18:J18)</f>
        <v>2.5504809128545939E-3</v>
      </c>
    </row>
  </sheetData>
  <conditionalFormatting sqref="L1:L1048576">
    <cfRule type="containsBlanks" dxfId="7" priority="1">
      <formula>LEN(TRIM(L1))=0</formula>
    </cfRule>
    <cfRule type="cellIs" dxfId="6" priority="2" operator="between">
      <formula>0</formula>
      <formula>0.1</formula>
    </cfRule>
    <cfRule type="cellIs" dxfId="5" priority="3" operator="greaterThan">
      <formula>0.2</formula>
    </cfRule>
    <cfRule type="cellIs" dxfId="4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13FFE-1256-4A00-AF3F-70013C27B583}">
  <dimension ref="A1:L18"/>
  <sheetViews>
    <sheetView zoomScaleNormal="100" workbookViewId="0">
      <selection activeCell="C33" sqref="C33"/>
    </sheetView>
  </sheetViews>
  <sheetFormatPr defaultRowHeight="15" x14ac:dyDescent="0.25"/>
  <cols>
    <col min="1" max="1" width="67.5703125" bestFit="1" customWidth="1"/>
    <col min="2" max="2" width="9.5703125" bestFit="1" customWidth="1"/>
    <col min="11" max="11" width="10.7109375" customWidth="1"/>
  </cols>
  <sheetData>
    <row r="1" spans="1:12" x14ac:dyDescent="0.25">
      <c r="A1" s="2" t="s">
        <v>19</v>
      </c>
      <c r="B1" s="2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K1" s="2" t="s">
        <v>35</v>
      </c>
      <c r="L1" s="2" t="s">
        <v>29</v>
      </c>
    </row>
    <row r="2" spans="1:12" x14ac:dyDescent="0.25">
      <c r="A2" t="str">
        <f>T_All_K1_N10_P10[[#This Row],[Identifier]]</f>
        <v>d25aa1037abc0ee33ddf41d15dc8098b5dab31e232686a7a8490057d92d238a8</v>
      </c>
      <c r="B2">
        <f>(T_All_K1_N10_P10[[#This Row],[1]]-T_All_K1_N10_P10[[#This Row],[0]])/(ABS(T_All_K1_N10_P10[[#This Row],[0]]))</f>
        <v>-0.24888631378367326</v>
      </c>
      <c r="C2">
        <f>(T_All_K1_N10_P10[[#This Row],[2]]-T_All_K1_N10_P10[[#This Row],[1]])/(ABS(T_All_K1_N10_P10[[#This Row],[1]]))</f>
        <v>-7.6080107054051091E-2</v>
      </c>
      <c r="D2">
        <f>(T_All_K1_N10_P10[[#This Row],[3]]-T_All_K1_N10_P10[[#This Row],[2]])/(ABS(T_All_K1_N10_P10[[#This Row],[2]]))</f>
        <v>-9.4825202415512955E-2</v>
      </c>
      <c r="E2">
        <f>(T_All_K1_N10_P10[[#This Row],[4]]-T_All_K1_N10_P10[[#This Row],[3]])/(ABS(T_All_K1_N10_P10[[#This Row],[3]]))</f>
        <v>0.24557784562448776</v>
      </c>
      <c r="F2">
        <f>(T_All_K1_N10_P10[[#This Row],[5]]-T_All_K1_N10_P10[[#This Row],[4]])/(ABS(T_All_K1_N10_P10[[#This Row],[4]]))</f>
        <v>0.11832997746362552</v>
      </c>
      <c r="G2">
        <f>(T_All_K1_N10_P10[[#This Row],[6]]-T_All_K1_N10_P10[[#This Row],[5]])/(ABS(T_All_K1_N10_P10[[#This Row],[5]]))</f>
        <v>-3.4797381867223108E-2</v>
      </c>
      <c r="H2">
        <f>(T_All_K1_N10_P10[[#This Row],[7]]-T_All_K1_N10_P10[[#This Row],[6]])/(ABS(T_All_K1_N10_P10[[#This Row],[6]]))</f>
        <v>-0.3594779367271182</v>
      </c>
      <c r="I2">
        <f>(T_All_K1_N10_P10[[#This Row],[8]]-T_All_K1_N10_P10[[#This Row],[7]])/(ABS(T_All_K1_N10_P10[[#This Row],[7]]))</f>
        <v>0.65158197371510962</v>
      </c>
      <c r="K2">
        <f>AVERAGE(B2:I2)</f>
        <v>2.5177856869455534E-2</v>
      </c>
      <c r="L2">
        <f>(T_All_K1_N10_P10[[#This Row],[8]]-T_All_K1_N10_P10[[#This Row],[0]])/ABS(T_All_K1_N10_P10[[#This Row],[0]])</f>
        <v>-0.10655873336390893</v>
      </c>
    </row>
    <row r="3" spans="1:12" x14ac:dyDescent="0.25">
      <c r="A3" t="str">
        <f>T_All_K1_N10_P10[[#This Row],[Identifier]]</f>
        <v>2717b7cd07b3492daa233fba3b311ad11022633fc6887c63a275c09f741c88ad</v>
      </c>
      <c r="B3">
        <f>(T_All_K1_N10_P10[[#This Row],[1]]-T_All_K1_N10_P10[[#This Row],[0]])/(ABS(T_All_K1_N10_P10[[#This Row],[0]]))</f>
        <v>-0.46060528715079846</v>
      </c>
      <c r="C3">
        <f>(T_All_K1_N10_P10[[#This Row],[2]]-T_All_K1_N10_P10[[#This Row],[1]])/(ABS(T_All_K1_N10_P10[[#This Row],[1]]))</f>
        <v>0.44819695684567251</v>
      </c>
      <c r="D3">
        <f>(T_All_K1_N10_P10[[#This Row],[3]]-T_All_K1_N10_P10[[#This Row],[2]])/(ABS(T_All_K1_N10_P10[[#This Row],[2]]))</f>
        <v>-0.24239799520539057</v>
      </c>
      <c r="E3">
        <f>(T_All_K1_N10_P10[[#This Row],[4]]-T_All_K1_N10_P10[[#This Row],[3]])/(ABS(T_All_K1_N10_P10[[#This Row],[3]]))</f>
        <v>-0.39894988809726589</v>
      </c>
      <c r="F3">
        <f>(T_All_K1_N10_P10[[#This Row],[5]]-T_All_K1_N10_P10[[#This Row],[4]])/(ABS(T_All_K1_N10_P10[[#This Row],[4]]))</f>
        <v>-0.13454030862878852</v>
      </c>
      <c r="G3">
        <f>(T_All_K1_N10_P10[[#This Row],[6]]-T_All_K1_N10_P10[[#This Row],[5]])/(ABS(T_All_K1_N10_P10[[#This Row],[5]]))</f>
        <v>1.3599890576244169</v>
      </c>
      <c r="H3">
        <f>(T_All_K1_N10_P10[[#This Row],[7]]-T_All_K1_N10_P10[[#This Row],[6]])/(ABS(T_All_K1_N10_P10[[#This Row],[6]]))</f>
        <v>-0.25264717318367363</v>
      </c>
      <c r="I3">
        <f>(T_All_K1_N10_P10[[#This Row],[8]]-T_All_K1_N10_P10[[#This Row],[7]])/(ABS(T_All_K1_N10_P10[[#This Row],[7]]))</f>
        <v>0.7788847794183994</v>
      </c>
      <c r="K3">
        <f t="shared" ref="K3:K10" si="0">AVERAGE(B3:I3)</f>
        <v>0.13724126770282147</v>
      </c>
      <c r="L3">
        <f>(T_All_K1_N10_P10[[#This Row],[8]]-T_All_K1_N10_P10[[#This Row],[0]])/ABS(T_All_K1_N10_P10[[#This Row],[0]])</f>
        <v>-3.4134955451075394E-2</v>
      </c>
    </row>
    <row r="4" spans="1:12" x14ac:dyDescent="0.25">
      <c r="A4" t="str">
        <f>T_All_K1_N10_P10[[#This Row],[Identifier]]</f>
        <v>9b563802ec83c693bed1ac3dc42c6e4b8015c6a100b0f60b7f0790385e7c0666</v>
      </c>
      <c r="B4">
        <f>(T_All_K1_N10_P10[[#This Row],[1]]-T_All_K1_N10_P10[[#This Row],[0]])/(ABS(T_All_K1_N10_P10[[#This Row],[0]]))</f>
        <v>-0.47610614057398593</v>
      </c>
      <c r="C4">
        <f>(T_All_K1_N10_P10[[#This Row],[2]]-T_All_K1_N10_P10[[#This Row],[1]])/(ABS(T_All_K1_N10_P10[[#This Row],[1]]))</f>
        <v>0.31110016247295275</v>
      </c>
      <c r="D4">
        <f>(T_All_K1_N10_P10[[#This Row],[3]]-T_All_K1_N10_P10[[#This Row],[2]])/(ABS(T_All_K1_N10_P10[[#This Row],[2]]))</f>
        <v>0.65325440063615881</v>
      </c>
      <c r="E4">
        <f>(T_All_K1_N10_P10[[#This Row],[4]]-T_All_K1_N10_P10[[#This Row],[3]])/(ABS(T_All_K1_N10_P10[[#This Row],[3]]))</f>
        <v>-0.25403079503122217</v>
      </c>
      <c r="F4">
        <f>(T_All_K1_N10_P10[[#This Row],[5]]-T_All_K1_N10_P10[[#This Row],[4]])/(ABS(T_All_K1_N10_P10[[#This Row],[4]]))</f>
        <v>5.8021799403416771E-2</v>
      </c>
      <c r="G4">
        <f>(T_All_K1_N10_P10[[#This Row],[6]]-T_All_K1_N10_P10[[#This Row],[5]])/(ABS(T_All_K1_N10_P10[[#This Row],[5]]))</f>
        <v>0.21212673329612833</v>
      </c>
      <c r="H4">
        <f>(T_All_K1_N10_P10[[#This Row],[7]]-T_All_K1_N10_P10[[#This Row],[6]])/(ABS(T_All_K1_N10_P10[[#This Row],[6]]))</f>
        <v>-0.57883835894422653</v>
      </c>
      <c r="I4">
        <f>(T_All_K1_N10_P10[[#This Row],[8]]-T_All_K1_N10_P10[[#This Row],[7]])/(ABS(T_All_K1_N10_P10[[#This Row],[7]]))</f>
        <v>0.6544245962334907</v>
      </c>
      <c r="K4">
        <f t="shared" si="0"/>
        <v>7.2494049686589096E-2</v>
      </c>
      <c r="L4">
        <f>(T_All_K1_N10_P10[[#This Row],[8]]-T_All_K1_N10_P10[[#This Row],[0]])/ABS(T_All_K1_N10_P10[[#This Row],[0]])</f>
        <v>-0.24303081753463657</v>
      </c>
    </row>
    <row r="5" spans="1:12" x14ac:dyDescent="0.25">
      <c r="A5" t="str">
        <f>T_All_K1_N10_P10[[#This Row],[Identifier]]</f>
        <v>34cd6f7890246a1380e1ca79e6988afe4cfc530950e823b14ee9269cbc9f994a</v>
      </c>
      <c r="B5">
        <f>(T_All_K1_N10_P10[[#This Row],[1]]-T_All_K1_N10_P10[[#This Row],[0]])/(ABS(T_All_K1_N10_P10[[#This Row],[0]]))</f>
        <v>0.17004608762638007</v>
      </c>
      <c r="C5">
        <f>(T_All_K1_N10_P10[[#This Row],[2]]-T_All_K1_N10_P10[[#This Row],[1]])/(ABS(T_All_K1_N10_P10[[#This Row],[1]]))</f>
        <v>-0.58452430573394487</v>
      </c>
      <c r="D5">
        <f>(T_All_K1_N10_P10[[#This Row],[3]]-T_All_K1_N10_P10[[#This Row],[2]])/(ABS(T_All_K1_N10_P10[[#This Row],[2]]))</f>
        <v>2.4510341045738389</v>
      </c>
      <c r="E5">
        <f>(T_All_K1_N10_P10[[#This Row],[4]]-T_All_K1_N10_P10[[#This Row],[3]])/(ABS(T_All_K1_N10_P10[[#This Row],[3]]))</f>
        <v>-3.2629189658110673E-2</v>
      </c>
      <c r="F5">
        <f>(T_All_K1_N10_P10[[#This Row],[5]]-T_All_K1_N10_P10[[#This Row],[4]])/(ABS(T_All_K1_N10_P10[[#This Row],[4]]))</f>
        <v>-0.69915532274380177</v>
      </c>
      <c r="G5">
        <f>(T_All_K1_N10_P10[[#This Row],[6]]-T_All_K1_N10_P10[[#This Row],[5]])/(ABS(T_All_K1_N10_P10[[#This Row],[5]]))</f>
        <v>0.66458480164745926</v>
      </c>
      <c r="H5">
        <f>(T_All_K1_N10_P10[[#This Row],[7]]-T_All_K1_N10_P10[[#This Row],[6]])/(ABS(T_All_K1_N10_P10[[#This Row],[6]]))</f>
        <v>0.11503124478357279</v>
      </c>
      <c r="I5">
        <f>(T_All_K1_N10_P10[[#This Row],[8]]-T_All_K1_N10_P10[[#This Row],[7]])/(ABS(T_All_K1_N10_P10[[#This Row],[7]]))</f>
        <v>1.2097517477188102</v>
      </c>
      <c r="K5">
        <f t="shared" si="0"/>
        <v>0.41176739602677548</v>
      </c>
      <c r="L5">
        <f>(T_All_K1_N10_P10[[#This Row],[8]]-T_All_K1_N10_P10[[#This Row],[0]])/ABS(T_All_K1_N10_P10[[#This Row],[0]])</f>
        <v>1.0024865196846715</v>
      </c>
    </row>
    <row r="6" spans="1:12" x14ac:dyDescent="0.25">
      <c r="A6" t="str">
        <f>T_All_K1_N10_P10[[#This Row],[Identifier]]</f>
        <v>a6772773acf295d82a4a4f90cc6b276e4eef57c35f5dd6a217f40522f7e65019</v>
      </c>
      <c r="B6">
        <f>(T_All_K1_N10_P10[[#This Row],[1]]-T_All_K1_N10_P10[[#This Row],[0]])/(ABS(T_All_K1_N10_P10[[#This Row],[0]]))</f>
        <v>0.20894133723033143</v>
      </c>
      <c r="C6">
        <f>(T_All_K1_N10_P10[[#This Row],[2]]-T_All_K1_N10_P10[[#This Row],[1]])/(ABS(T_All_K1_N10_P10[[#This Row],[1]]))</f>
        <v>-0.12131181223669123</v>
      </c>
      <c r="D6">
        <f>(T_All_K1_N10_P10[[#This Row],[3]]-T_All_K1_N10_P10[[#This Row],[2]])/(ABS(T_All_K1_N10_P10[[#This Row],[2]]))</f>
        <v>0.81492203691863851</v>
      </c>
      <c r="E6">
        <f>(T_All_K1_N10_P10[[#This Row],[4]]-T_All_K1_N10_P10[[#This Row],[3]])/(ABS(T_All_K1_N10_P10[[#This Row],[3]]))</f>
        <v>3.5296599147985927E-2</v>
      </c>
      <c r="F6">
        <f>(T_All_K1_N10_P10[[#This Row],[5]]-T_All_K1_N10_P10[[#This Row],[4]])/(ABS(T_All_K1_N10_P10[[#This Row],[4]]))</f>
        <v>-0.44450605238104041</v>
      </c>
      <c r="G6">
        <f>(T_All_K1_N10_P10[[#This Row],[6]]-T_All_K1_N10_P10[[#This Row],[5]])/(ABS(T_All_K1_N10_P10[[#This Row],[5]]))</f>
        <v>3.8682820554215402E-2</v>
      </c>
      <c r="H6">
        <f>(T_All_K1_N10_P10[[#This Row],[7]]-T_All_K1_N10_P10[[#This Row],[6]])/(ABS(T_All_K1_N10_P10[[#This Row],[6]]))</f>
        <v>0.30451393571605723</v>
      </c>
      <c r="I6">
        <f>(T_All_K1_N10_P10[[#This Row],[8]]-T_All_K1_N10_P10[[#This Row],[7]])/(ABS(T_All_K1_N10_P10[[#This Row],[7]]))</f>
        <v>0.28390948140965655</v>
      </c>
      <c r="K6">
        <f t="shared" si="0"/>
        <v>0.14005604329489418</v>
      </c>
      <c r="L6">
        <f>(T_All_K1_N10_P10[[#This Row],[8]]-T_All_K1_N10_P10[[#This Row],[0]])/ABS(T_All_K1_N10_P10[[#This Row],[0]])</f>
        <v>0.92889321810568137</v>
      </c>
    </row>
    <row r="7" spans="1:12" x14ac:dyDescent="0.25">
      <c r="A7" t="str">
        <f>T_All_K1_N10_P10[[#This Row],[Identifier]]</f>
        <v>5b3a7e9f258c6e42c84dcbf76b3fb29243536b9fcbc464bc101a1ef6c814c190</v>
      </c>
      <c r="B7">
        <f>(T_All_K1_N10_P10[[#This Row],[1]]-T_All_K1_N10_P10[[#This Row],[0]])/(ABS(T_All_K1_N10_P10[[#This Row],[0]]))</f>
        <v>0.10574623519819128</v>
      </c>
      <c r="C7">
        <f>(T_All_K1_N10_P10[[#This Row],[2]]-T_All_K1_N10_P10[[#This Row],[1]])/(ABS(T_All_K1_N10_P10[[#This Row],[1]]))</f>
        <v>-4.4994739914167907E-2</v>
      </c>
      <c r="D7">
        <f>(T_All_K1_N10_P10[[#This Row],[3]]-T_All_K1_N10_P10[[#This Row],[2]])/(ABS(T_All_K1_N10_P10[[#This Row],[2]]))</f>
        <v>0.26228409313183604</v>
      </c>
      <c r="E7">
        <f>(T_All_K1_N10_P10[[#This Row],[4]]-T_All_K1_N10_P10[[#This Row],[3]])/(ABS(T_All_K1_N10_P10[[#This Row],[3]]))</f>
        <v>-0.308401378452692</v>
      </c>
      <c r="F7">
        <f>(T_All_K1_N10_P10[[#This Row],[5]]-T_All_K1_N10_P10[[#This Row],[4]])/(ABS(T_All_K1_N10_P10[[#This Row],[4]]))</f>
        <v>7.9545592050098687E-2</v>
      </c>
      <c r="G7">
        <f>(T_All_K1_N10_P10[[#This Row],[6]]-T_All_K1_N10_P10[[#This Row],[5]])/(ABS(T_All_K1_N10_P10[[#This Row],[5]]))</f>
        <v>-6.1604244220003948E-2</v>
      </c>
      <c r="H7">
        <f>(T_All_K1_N10_P10[[#This Row],[7]]-T_All_K1_N10_P10[[#This Row],[6]])/(ABS(T_All_K1_N10_P10[[#This Row],[6]]))</f>
        <v>0.55614730783449107</v>
      </c>
      <c r="I7">
        <f>(T_All_K1_N10_P10[[#This Row],[8]]-T_All_K1_N10_P10[[#This Row],[7]])/(ABS(T_All_K1_N10_P10[[#This Row],[7]]))</f>
        <v>-0.33774901269034274</v>
      </c>
      <c r="K7">
        <f t="shared" si="0"/>
        <v>3.137173161717631E-2</v>
      </c>
      <c r="L7">
        <f>(T_All_K1_N10_P10[[#This Row],[8]]-T_All_K1_N10_P10[[#This Row],[0]])/ABS(T_All_K1_N10_P10[[#This Row],[0]])</f>
        <v>-3.7561904763046529E-2</v>
      </c>
    </row>
    <row r="8" spans="1:12" x14ac:dyDescent="0.25">
      <c r="A8" t="str">
        <f>T_All_K1_N10_P10[[#This Row],[Identifier]]</f>
        <v>8001faf888c2bc2a9c689eb7d59c7d120bef7dccc006130a9132b510f98b0204</v>
      </c>
      <c r="B8">
        <f>(T_All_K1_N10_P10[[#This Row],[1]]-T_All_K1_N10_P10[[#This Row],[0]])/(ABS(T_All_K1_N10_P10[[#This Row],[0]]))</f>
        <v>-1.0607850213732138E-2</v>
      </c>
      <c r="C8">
        <f>(T_All_K1_N10_P10[[#This Row],[2]]-T_All_K1_N10_P10[[#This Row],[1]])/(ABS(T_All_K1_N10_P10[[#This Row],[1]]))</f>
        <v>-0.19014489393892606</v>
      </c>
      <c r="D8">
        <f>(T_All_K1_N10_P10[[#This Row],[3]]-T_All_K1_N10_P10[[#This Row],[2]])/(ABS(T_All_K1_N10_P10[[#This Row],[2]]))</f>
        <v>0.96902673276607565</v>
      </c>
      <c r="E8">
        <f>(T_All_K1_N10_P10[[#This Row],[4]]-T_All_K1_N10_P10[[#This Row],[3]])/(ABS(T_All_K1_N10_P10[[#This Row],[3]]))</f>
        <v>-0.45270883721850219</v>
      </c>
      <c r="F8">
        <f>(T_All_K1_N10_P10[[#This Row],[5]]-T_All_K1_N10_P10[[#This Row],[4]])/(ABS(T_All_K1_N10_P10[[#This Row],[4]]))</f>
        <v>0.73503377125081981</v>
      </c>
      <c r="G8">
        <f>(T_All_K1_N10_P10[[#This Row],[6]]-T_All_K1_N10_P10[[#This Row],[5]])/(ABS(T_All_K1_N10_P10[[#This Row],[5]]))</f>
        <v>-0.18217192686327013</v>
      </c>
      <c r="H8">
        <f>(T_All_K1_N10_P10[[#This Row],[7]]-T_All_K1_N10_P10[[#This Row],[6]])/(ABS(T_All_K1_N10_P10[[#This Row],[6]]))</f>
        <v>-0.45634355965590123</v>
      </c>
      <c r="I8">
        <f>(T_All_K1_N10_P10[[#This Row],[8]]-T_All_K1_N10_P10[[#This Row],[7]])/(ABS(T_All_K1_N10_P10[[#This Row],[7]]))</f>
        <v>1.2921725188509912</v>
      </c>
      <c r="K8">
        <f t="shared" si="0"/>
        <v>0.21303199437219436</v>
      </c>
      <c r="L8">
        <f>(T_All_K1_N10_P10[[#This Row],[8]]-T_All_K1_N10_P10[[#This Row],[0]])/ABS(T_All_K1_N10_P10[[#This Row],[0]])</f>
        <v>0.52681921969803169</v>
      </c>
    </row>
    <row r="9" spans="1:12" x14ac:dyDescent="0.25">
      <c r="A9" t="str">
        <f>T_All_K1_N10_P10[[#This Row],[Identifier]]</f>
        <v>f118c7c854ef66836a33c577ab61f4b2c5a2fd161b97a7011824c1de46a8acb1</v>
      </c>
      <c r="B9">
        <f>(T_All_K1_N10_P10[[#This Row],[1]]-T_All_K1_N10_P10[[#This Row],[0]])/(ABS(T_All_K1_N10_P10[[#This Row],[0]]))</f>
        <v>-0.13355209252381425</v>
      </c>
      <c r="C9">
        <f>(T_All_K1_N10_P10[[#This Row],[2]]-T_All_K1_N10_P10[[#This Row],[1]])/(ABS(T_All_K1_N10_P10[[#This Row],[1]]))</f>
        <v>-0.49954435486367865</v>
      </c>
      <c r="D9">
        <f>(T_All_K1_N10_P10[[#This Row],[3]]-T_All_K1_N10_P10[[#This Row],[2]])/(ABS(T_All_K1_N10_P10[[#This Row],[2]]))</f>
        <v>-1.3689647770689137E-2</v>
      </c>
      <c r="E9">
        <f>(T_All_K1_N10_P10[[#This Row],[4]]-T_All_K1_N10_P10[[#This Row],[3]])/(ABS(T_All_K1_N10_P10[[#This Row],[3]]))</f>
        <v>0.46792471051995993</v>
      </c>
      <c r="F9">
        <f>(T_All_K1_N10_P10[[#This Row],[5]]-T_All_K1_N10_P10[[#This Row],[4]])/(ABS(T_All_K1_N10_P10[[#This Row],[4]]))</f>
        <v>0.20009558718603795</v>
      </c>
      <c r="G9">
        <f>(T_All_K1_N10_P10[[#This Row],[6]]-T_All_K1_N10_P10[[#This Row],[5]])/(ABS(T_All_K1_N10_P10[[#This Row],[5]]))</f>
        <v>-0.37247496993222634</v>
      </c>
      <c r="H9">
        <f>(T_All_K1_N10_P10[[#This Row],[7]]-T_All_K1_N10_P10[[#This Row],[6]])/(ABS(T_All_K1_N10_P10[[#This Row],[6]]))</f>
        <v>0.51017518891300162</v>
      </c>
      <c r="I9">
        <f>(T_All_K1_N10_P10[[#This Row],[8]]-T_All_K1_N10_P10[[#This Row],[7]])/(ABS(T_All_K1_N10_P10[[#This Row],[7]]))</f>
        <v>-1.2179970405289254E-2</v>
      </c>
      <c r="K9">
        <f t="shared" si="0"/>
        <v>1.8344306390412724E-2</v>
      </c>
      <c r="L9">
        <f>(T_All_K1_N10_P10[[#This Row],[8]]-T_All_K1_N10_P10[[#This Row],[0]])/ABS(T_All_K1_N10_P10[[#This Row],[0]])</f>
        <v>-0.29469417081424498</v>
      </c>
    </row>
    <row r="10" spans="1:12" x14ac:dyDescent="0.25">
      <c r="A10" t="str">
        <f>T_All_K1_N10_P10[[#This Row],[Identifier]]</f>
        <v>8e28741218970816587e9c1a3c2cf35e70e897d967bafe3ab109b76341a8f65e</v>
      </c>
      <c r="B10">
        <f>(T_All_K1_N10_P10[[#This Row],[1]]-T_All_K1_N10_P10[[#This Row],[0]])/(ABS(T_All_K1_N10_P10[[#This Row],[0]]))</f>
        <v>-0.22244788341704316</v>
      </c>
      <c r="C10">
        <f>(T_All_K1_N10_P10[[#This Row],[2]]-T_All_K1_N10_P10[[#This Row],[1]])/(ABS(T_All_K1_N10_P10[[#This Row],[1]]))</f>
        <v>-0.14245130626754968</v>
      </c>
      <c r="D10">
        <f>(T_All_K1_N10_P10[[#This Row],[3]]-T_All_K1_N10_P10[[#This Row],[2]])/(ABS(T_All_K1_N10_P10[[#This Row],[2]]))</f>
        <v>0.2352867057252151</v>
      </c>
      <c r="E10">
        <f>(T_All_K1_N10_P10[[#This Row],[4]]-T_All_K1_N10_P10[[#This Row],[3]])/(ABS(T_All_K1_N10_P10[[#This Row],[3]]))</f>
        <v>-0.64181572738761716</v>
      </c>
      <c r="F10">
        <f>(T_All_K1_N10_P10[[#This Row],[5]]-T_All_K1_N10_P10[[#This Row],[4]])/(ABS(T_All_K1_N10_P10[[#This Row],[4]]))</f>
        <v>1.5184567581670976</v>
      </c>
      <c r="G10">
        <f>(T_All_K1_N10_P10[[#This Row],[6]]-T_All_K1_N10_P10[[#This Row],[5]])/(ABS(T_All_K1_N10_P10[[#This Row],[5]]))</f>
        <v>-0.57833688680861983</v>
      </c>
      <c r="H10">
        <f>(T_All_K1_N10_P10[[#This Row],[7]]-T_All_K1_N10_P10[[#This Row],[6]])/(ABS(T_All_K1_N10_P10[[#This Row],[6]]))</f>
        <v>1.9279062966416129</v>
      </c>
      <c r="I10">
        <f>(T_All_K1_N10_P10[[#This Row],[8]]-T_All_K1_N10_P10[[#This Row],[7]])/(ABS(T_All_K1_N10_P10[[#This Row],[7]]))</f>
        <v>0.48563831869430824</v>
      </c>
      <c r="K10">
        <f t="shared" si="0"/>
        <v>0.3227795344184255</v>
      </c>
      <c r="L10">
        <f>(T_All_K1_N10_P10[[#This Row],[8]]-T_All_K1_N10_P10[[#This Row],[0]])/ABS(T_All_K1_N10_P10[[#This Row],[0]])</f>
        <v>0.36280259949785987</v>
      </c>
    </row>
    <row r="11" spans="1:12" x14ac:dyDescent="0.25">
      <c r="A11" t="str">
        <f>T_All_K1_N10_P10[[#This Row],[Identifier]]</f>
        <v>0469e2c562078156e98ee780a4c44dab154993760427482cf280123ad2cb1bf8</v>
      </c>
      <c r="B11">
        <f>(T_All_K1_N10_P10[[#This Row],[1]]-T_All_K1_N10_P10[[#This Row],[0]])/(ABS(T_All_K1_N10_P10[[#This Row],[0]]))</f>
        <v>-0.31095384855678487</v>
      </c>
      <c r="C11">
        <f>(T_All_K1_N10_P10[[#This Row],[2]]-T_All_K1_N10_P10[[#This Row],[1]])/(ABS(T_All_K1_N10_P10[[#This Row],[1]]))</f>
        <v>-2.2238640419221013E-2</v>
      </c>
      <c r="D11">
        <f>(T_All_K1_N10_P10[[#This Row],[3]]-T_All_K1_N10_P10[[#This Row],[2]])/(ABS(T_All_K1_N10_P10[[#This Row],[2]]))</f>
        <v>0.20005481690884674</v>
      </c>
      <c r="E11">
        <f>(T_All_K1_N10_P10[[#This Row],[4]]-T_All_K1_N10_P10[[#This Row],[3]])/(ABS(T_All_K1_N10_P10[[#This Row],[3]]))</f>
        <v>0.14225335560694521</v>
      </c>
      <c r="F11">
        <f>(T_All_K1_N10_P10[[#This Row],[5]]-T_All_K1_N10_P10[[#This Row],[4]])/(ABS(T_All_K1_N10_P10[[#This Row],[4]]))</f>
        <v>0.20949749780783825</v>
      </c>
      <c r="G11">
        <f>(T_All_K1_N10_P10[[#This Row],[6]]-T_All_K1_N10_P10[[#This Row],[5]])/(ABS(T_All_K1_N10_P10[[#This Row],[5]]))</f>
        <v>-0.41862196821672104</v>
      </c>
      <c r="H11">
        <f>(T_All_K1_N10_P10[[#This Row],[7]]-T_All_K1_N10_P10[[#This Row],[6]])/(ABS(T_All_K1_N10_P10[[#This Row],[6]]))</f>
        <v>0.25109394739068935</v>
      </c>
      <c r="I11">
        <f>(T_All_K1_N10_P10[[#This Row],[8]]-T_All_K1_N10_P10[[#This Row],[7]])/(ABS(T_All_K1_N10_P10[[#This Row],[7]]))</f>
        <v>-0.18775446409889462</v>
      </c>
      <c r="K11">
        <f>AVERAGE(B11:I11)</f>
        <v>-1.708366294716275E-2</v>
      </c>
      <c r="L11">
        <f>(T_All_K1_N10_P10[[#This Row],[8]]-T_All_K1_N10_P10[[#This Row],[0]])/ABS(T_All_K1_N10_P10[[#This Row],[0]])</f>
        <v>-0.34008871315532696</v>
      </c>
    </row>
    <row r="14" spans="1:12" x14ac:dyDescent="0.25">
      <c r="J14" s="2" t="s">
        <v>28</v>
      </c>
      <c r="K14">
        <f>AVERAGE(K2:K11)</f>
        <v>0.13551805174315817</v>
      </c>
      <c r="L14">
        <f>AVERAGE(L2:L11)</f>
        <v>0.1764932261904005</v>
      </c>
    </row>
    <row r="17" spans="1:12" x14ac:dyDescent="0.25">
      <c r="A17" s="5"/>
      <c r="B17" s="6" t="s">
        <v>20</v>
      </c>
      <c r="C17" s="7" t="s">
        <v>21</v>
      </c>
      <c r="D17" s="7" t="s">
        <v>22</v>
      </c>
      <c r="E17" s="7" t="s">
        <v>23</v>
      </c>
      <c r="F17" s="7" t="s">
        <v>24</v>
      </c>
      <c r="G17" s="7" t="s">
        <v>25</v>
      </c>
      <c r="H17" s="7" t="s">
        <v>26</v>
      </c>
      <c r="I17" s="7" t="s">
        <v>27</v>
      </c>
      <c r="J17" s="5"/>
      <c r="K17" s="6" t="s">
        <v>28</v>
      </c>
      <c r="L17" s="6" t="s">
        <v>29</v>
      </c>
    </row>
    <row r="18" spans="1:12" x14ac:dyDescent="0.25">
      <c r="A18" s="5" t="s">
        <v>34</v>
      </c>
      <c r="B18" s="5">
        <f>AVERAGE(B2:B11)</f>
        <v>-0.13784257561649293</v>
      </c>
      <c r="C18" s="5">
        <f t="shared" ref="C18:I18" si="1">AVERAGE(C2:C11)</f>
        <v>-9.2199304110960514E-2</v>
      </c>
      <c r="D18" s="5">
        <f t="shared" si="1"/>
        <v>0.52349500452690179</v>
      </c>
      <c r="E18" s="5">
        <f t="shared" si="1"/>
        <v>-0.11974833049460314</v>
      </c>
      <c r="F18" s="5">
        <f t="shared" si="1"/>
        <v>0.1640779299575304</v>
      </c>
      <c r="G18" s="5">
        <f t="shared" si="1"/>
        <v>6.2737603521415566E-2</v>
      </c>
      <c r="H18" s="5">
        <f t="shared" si="1"/>
        <v>0.20175608927685054</v>
      </c>
      <c r="I18" s="5">
        <f t="shared" si="1"/>
        <v>0.48186799688462389</v>
      </c>
      <c r="J18" s="5"/>
      <c r="K18" s="5">
        <f>AVERAGE(B18:I18)</f>
        <v>0.1355180517431582</v>
      </c>
      <c r="L18" s="5">
        <f>(I18-B18)/(ABS(B18))</f>
        <v>4.4957849178999822</v>
      </c>
    </row>
  </sheetData>
  <conditionalFormatting sqref="A18:XFD18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K1:L25 K27:L1048576 K2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AC00-A9EB-461B-A790-FBB9A7DFFB14}">
  <dimension ref="A1"/>
  <sheetViews>
    <sheetView tabSelected="1" topLeftCell="D62" zoomScale="145" zoomScaleNormal="145" workbookViewId="0">
      <selection activeCell="G78" sqref="G78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4D51C3-8CFE-47D2-A4AC-BD8108A6BE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T-All_K1 N10 P10</vt:lpstr>
      <vt:lpstr>R Squared</vt:lpstr>
      <vt:lpstr>Relative Change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2025-12-02T03:21:50Z</dcterms:created>
  <dcterms:modified xsi:type="dcterms:W3CDTF">2025-12-12T00:35:34Z</dcterms:modified>
</cp:coreProperties>
</file>